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slicers/slicer4.xml" ContentType="application/vnd.ms-excel.slicer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V:\"/>
    </mc:Choice>
  </mc:AlternateContent>
  <xr:revisionPtr revIDLastSave="0" documentId="13_ncr:1_{18DDD5FE-7F3A-4FA7-95E2-8F7F30F82F25}" xr6:coauthVersionLast="47" xr6:coauthVersionMax="47" xr10:uidLastSave="{00000000-0000-0000-0000-000000000000}"/>
  <bookViews>
    <workbookView xWindow="-120" yWindow="-120" windowWidth="28110" windowHeight="16440" firstSheet="1" activeTab="1" xr2:uid="{C1EFD9AA-B364-4685-A628-7B4E5E89F288}"/>
  </bookViews>
  <sheets>
    <sheet name="Report" sheetId="1" state="hidden" r:id="rId1"/>
    <sheet name="Limite de crédito." sheetId="5" r:id="rId2"/>
    <sheet name="Pedidos Geral" sheetId="4" r:id="rId3"/>
    <sheet name="Limite de crédito" sheetId="3" state="hidden" r:id="rId4"/>
  </sheets>
  <externalReferences>
    <externalReference r:id="rId5"/>
  </externalReferences>
  <definedNames>
    <definedName name="SegmentaçãodeDados_CLIENTE">#N/A</definedName>
    <definedName name="SegmentaçãodeDados_CLIENTE1">#N/A</definedName>
    <definedName name="SegmentaçãodeDados_Limite_de_Crédito__R">#N/A</definedName>
    <definedName name="SegmentaçãodeDados_Subdealer_Cliente">#N/A</definedName>
    <definedName name="SegmentaçãodeDados_Subdealer_Cliente1">#N/A</definedName>
    <definedName name="SegmentaçãodeDados_VENCIMENTO">#N/A</definedName>
    <definedName name="SegmentaçãodeDados_VENCIMENTO1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  <x14:slicerCache r:id="rId12"/>
        <x14:slicerCache r:id="rId13"/>
        <x14:slicerCache r:id="rId14"/>
      </x15:slicerCaches>
    </ext>
  </extLst>
</workbook>
</file>

<file path=xl/calcChain.xml><?xml version="1.0" encoding="utf-8"?>
<calcChain xmlns="http://schemas.openxmlformats.org/spreadsheetml/2006/main">
  <c r="C27" i="3" l="1"/>
  <c r="C38" i="3"/>
  <c r="C3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</author>
  </authors>
  <commentList>
    <comment ref="A8" authorId="0" shapeId="0" xr:uid="{D429CA78-53F8-4F10-A3B2-E437ACCF56C9}">
      <text>
        <r>
          <rPr>
            <b/>
            <sz val="9"/>
            <color indexed="81"/>
            <rFont val="Segoe UI"/>
            <family val="2"/>
          </rPr>
          <t>SOUSA &amp; LUSTOSA LTDA, sediada em Canaã dos Carajás/PA, com filial em Parauapebas/PA. Capital destacado de R$ 99.000,00. Sócios Juliana dos Santos Lustosa e Saulo Pereira Sousa, ambos administradores. Atua na representação comercial, comércio e manutenção de máquinas e equipamentos agropecuários, além de serviços de apoio à agricultura. Faturamento anual de R$ 707 mil e lucro líquido de R$ 315 mil. Estrutura enxuta, lucrativa e em crescimento. Risco médio (Serasa 445, com 2 anotações negativas).</t>
        </r>
      </text>
    </comment>
    <comment ref="A11" authorId="0" shapeId="0" xr:uid="{A8835F62-4ECE-4DEA-B6B5-D87A06CE97F5}">
      <text>
        <r>
          <rPr>
            <b/>
            <sz val="9"/>
            <color indexed="81"/>
            <rFont val="Segoe UI"/>
            <family val="2"/>
          </rPr>
          <t>HSD DRONES LTDA, sediada em Conceição do Araguaia/PA. Capital social registrado em nome de Pabblo Junior Stuhler Botelho, sócio e administrador. Atua no comércio varejista e atacadista de equipamentos de informática e drones, além de representação comercial e manutenção de máquinas e equipamentos agrícolas.
Apresenta receita total de R$ 2.187.484,00 e risco Serasa 502 (médio).</t>
        </r>
      </text>
    </comment>
    <comment ref="A14" authorId="0" shapeId="0" xr:uid="{F76284A2-D87A-4DF6-A62B-64822FB2B446}">
      <text>
        <r>
          <rPr>
            <b/>
            <sz val="9"/>
            <color indexed="81"/>
            <rFont val="Segoe UI"/>
            <family val="2"/>
          </rPr>
          <t>RURAL DRONE VENDAS E SERVIÇOS DE MANUTENÇÃO LTDA, sediada em Eldorado dos Carajás/PA. Capital social de R$ 300.000,00, integralizado por Edpo Reges Miranda, sócio e administrador. Atua na manutenção e fabricação de equipamentos e peças para aeronaves e máquinas agrícolas, além de serviços técnicos, engenharia, locação e comercialização de equipamentos. Ativo total de R$ 1,57 milhão, passivo de R$ 1,31 milhão e lucro líquido de R$ 258,9 mil. Estrutura financeira sólida e operação em expansão.</t>
        </r>
      </text>
    </comment>
    <comment ref="B17" authorId="0" shapeId="0" xr:uid="{ADD29467-8FD4-4225-96FE-74B5D4993C75}">
      <text>
        <r>
          <rPr>
            <b/>
            <sz val="9"/>
            <color indexed="81"/>
            <rFont val="Segoe UI"/>
            <family val="2"/>
          </rPr>
          <t>NT 59057 — Allison
Parcela Valor (R$) Vencimento Status
1 192.607,21 📅 29/12/2025 ✅ Pago
2 168.705,00 📅 27/01/2026 ⏳ Em aberto
3 168.705,00 📅 27/01/2026 ⏳ Em aberto
Total NT 59057: R$ 337.410,00
NT 59166 —  Luiz Carlos
Parcela Valor (R$) Vencimento Status
1 93.400,44 📅 06/02/2026 ⏳ Em aberto
2 76.599,78 📅 06/02/2026 ⏳ Em aberto
3 76.599,78 📅 07/04/2026 ⏳ Em aberto
Total NT 59166: R$ 246.601,01
NT 59167 — Allison
Parcela Valor (R$) Vencimento Status
1 80.568,00 📅 06/02/2026 ⏳ Em aberto
2 69.367,93 📅 06/02/2026 ⏳ Em aberto
3 63.367,93 📅 07/04/2026 ⏳ Em aberto
Total NT 59167: R$ 219.304,58
NT 59168 —  Allison
Parcela Valor (R$) Vencimento Status
1 102.003,07 📅 06/02/2026 ⏳ Em aberto
2 85.201,90 📅 06/02/2026 ⏳ Em aberto
3 85.201,90 📅 07/04/2026 ⏳ Em aberto
Total NT 59168: R$ 272.406,87
TOTAL GERAL
R$ 1.075.722,46
Observação: Pedido autorizado por Isabel. Não descontar crédito.</t>
        </r>
      </text>
    </comment>
    <comment ref="A21" authorId="0" shapeId="0" xr:uid="{CBC591AA-475B-4013-8C59-92D311E2FC68}">
      <text>
        <r>
          <rPr>
            <sz val="9"/>
            <color indexed="81"/>
            <rFont val="Segoe UI"/>
            <family val="2"/>
          </rPr>
          <t xml:space="preserve">AGROSUL MÁQUINAS &amp; EQUIPAMENTOS AGRÍCOLAS LTDA – ME, sediada em Santarém/PA. Capital social de R$ 50.000,00 integralizado por Pedro Amauri Fontinele Feitosa, sócio único e administrador. Atua no comércio e manutenção de máquinas e insumos agrícolas. Faturamento anual aproximado de R$ 11,9 milhões e lucro líquido de R$ 358 mil. Estrutura financeira saudável e operação compatível com médio porte. Risco médio 
Limite sugerido: R$ 250.000,00
</t>
        </r>
      </text>
    </comment>
    <comment ref="A22" authorId="0" shapeId="0" xr:uid="{5A2399DB-A54B-489B-93CE-AED1A62E127E}">
      <text>
        <r>
          <rPr>
            <b/>
            <sz val="9"/>
            <color indexed="81"/>
            <rFont val="Segoe UI"/>
            <family val="2"/>
          </rPr>
          <t>AGROGEO COMÉRCIO E SERVIÇOS DE ENGENHARIA E CONSULTORIA FLORESTAL LTDA, sediada em Novo Progresso/PA. Capital social de R$ 100.000,00, integralizado por Elton Oderdenge de Oliveira, sócio e administrador único após a retirada de Luis Fernando Correa Brito. Atua no comércio, engenharia e consultoria florestal. Apresenta receita líquida de R$ 2,32 milhões e lucro líquido de R$ 2,11 milhões, demonstrando alta rentabilidade e estrutura enxuta.
Risco Serasa: 787.</t>
        </r>
      </text>
    </comment>
    <comment ref="B24" authorId="0" shapeId="0" xr:uid="{AE35B79D-0430-468F-8AE4-956DF7172C81}">
      <text>
        <r>
          <rPr>
            <b/>
            <sz val="9"/>
            <color indexed="81"/>
            <rFont val="Segoe UI"/>
            <family val="2"/>
          </rPr>
          <t>Usuário:</t>
        </r>
        <r>
          <rPr>
            <sz val="9"/>
            <color indexed="81"/>
            <rFont val="Segoe UI"/>
            <family val="2"/>
          </rPr>
          <t xml:space="preserve">
devido a atrasos 
400mil de limite</t>
        </r>
      </text>
    </comment>
    <comment ref="A25" authorId="0" shapeId="0" xr:uid="{A02D1C09-6764-46CD-8C56-4E4F30071297}">
      <text>
        <r>
          <rPr>
            <b/>
            <sz val="9"/>
            <color indexed="81"/>
            <rFont val="Segoe UI"/>
            <family val="2"/>
          </rPr>
          <t>O cliente possui três CNPJs (16.603.091/0001-90, 17.897.655/0001-07 e 58.765.877/0001-53). Utilizamos o CNPJ 16.603.091/0001-90 para a análise, apresentando faturamento anual de R$ 60,9 milhões e lucro líquido de R$ 1,69 milhão. Os scores Serasa (508 e 734) demonstram bom comportamento financeiro. No geral, trata-se de um bom cliente, com estrutura sólida, operações estáveis e capacidade para liberações de crédito.</t>
        </r>
      </text>
    </comment>
    <comment ref="A33" authorId="0" shapeId="0" xr:uid="{DC672323-8E76-43DF-B924-AF616BCC4200}">
      <text>
        <r>
          <rPr>
            <b/>
            <sz val="9"/>
            <color indexed="81"/>
            <rFont val="Segoe UI"/>
            <family val="2"/>
          </rPr>
          <t>A DRE analisada é da Drone Rural (CNPJ 13.178.664/0001-97), apresentando lucro de R$ 501.037,45. O limite total disponível é de R$ 300.000,00, dividido igualmente em R$ 150.000,00 para cada loja. Assim, 13.178.664/0002-78 (Loja Quem Cuida – consultor Kallebe) recebe 150k, e 62.697.676/0001-33 (D R MIRANORTE LTDA – consultor Dustin) recebe 150k, ambos compartilhando o teto principal de 300k. A Drone Rural é a empresa base da análise e origem da distribuição.</t>
        </r>
      </text>
    </comment>
    <comment ref="C34" authorId="0" shapeId="0" xr:uid="{FB39EDB4-1E47-4054-AE99-ECAF15350D00}">
      <text>
        <r>
          <rPr>
            <b/>
            <sz val="9"/>
            <color indexed="81"/>
            <rFont val="Segoe UI"/>
            <family val="2"/>
          </rPr>
          <t>CANCELAR LIMITE.</t>
        </r>
      </text>
    </comment>
    <comment ref="A38" authorId="0" shapeId="0" xr:uid="{22BEAF44-3565-403C-9709-B185DEAA8B3B}">
      <text>
        <r>
          <rPr>
            <b/>
            <sz val="9"/>
            <color indexed="81"/>
            <rFont val="Segoe UI"/>
            <family val="2"/>
          </rPr>
          <t>AGROMINAS PRODUTOS AGROPECUÁRIOS LTDA, sediada em Araguaína/TO, com filiais ativas em Xinguara/PA, Redenção/PA e Conceição do Araguaia/PA. Constituída em 24/07/2013, sociedade entre Vanir Antonio Borghetti e Renato Antonio Borghetti. Atua no comércio e cultivo de produtos agropecuários, fabricação de ração, defensivos agrícolas e transporte de cargas. Estrutura sólida, múltiplas operações regionais e histórico de bom desempenho financeiro.
Lucro: R$ 837.624,21 |  Limite: R$ 250.000,00.</t>
        </r>
      </text>
    </comment>
    <comment ref="A39" authorId="0" shapeId="0" xr:uid="{4CD10D9A-2E41-49C1-98B1-CDDC7C5311F0}">
      <text>
        <r>
          <rPr>
            <b/>
            <sz val="9"/>
            <color indexed="81"/>
            <rFont val="Segoe UI"/>
            <family val="2"/>
          </rPr>
          <t>A DRE analisada é da Drone Rural (CNPJ 13.178.664/0001-97), apresentando lucro de R$ 501.037,45. O limite total disponível é de R$ 300.000,00, dividido igualmente em R$ 150.000,00 para cada loja. Assim, 13.178.664/0002-78 (Loja Quem Cuida – consultor Kallebe) recebe 150k, e 62.697.676/0001-33 (D R MIRANORTE LTDA – consultor Dustin) recebe 150k, ambos compartilhando o teto principal de 300k. A Drone Rural é a empresa base da análise e origem da distribuição.</t>
        </r>
      </text>
    </comment>
    <comment ref="A40" authorId="0" shapeId="0" xr:uid="{F2C9CF74-3238-450C-A490-E1B5922CAEEC}">
      <text>
        <r>
          <rPr>
            <b/>
            <sz val="9"/>
            <color indexed="81"/>
            <rFont val="Segoe UI"/>
            <family val="2"/>
          </rPr>
          <t>[11:29, 10/12/2025] wpp - Dustin Comercial: Podem dar sequencia no meu pedido 15109102 da ATM por favor, foi liberado um valor de 600 mil para eles. Senhor Pedro autorizou, mediante confirmação da Isabel. A coleta será hoje no final da tarde</t>
        </r>
      </text>
    </comment>
    <comment ref="A41" authorId="0" shapeId="0" xr:uid="{646DCDF7-8387-4717-A5C7-162E03E7FF57}">
      <text>
        <r>
          <rPr>
            <b/>
            <sz val="9"/>
            <color indexed="81"/>
            <rFont val="Segoe UI"/>
            <family val="2"/>
          </rPr>
          <t>Resumo Alteração Contratual – GB Drones
Endereço da Matriz (novo): Rua do Comércio, s/n – Centro – São Bento do Tocantins/TO – CEP 77958-000
Filial: Encerrada – NIRE 17900413357 / CNPJ 59.207.933/0002-88 – Rua Betel, s/n – Centro – São Bento do Tocantins/TO
Foro (novo): São Bento do Tocantins – TO
Enquadramento: Empresa de Pequeno Porte – EPP
Nome Empresarial: GB Drones Comércio e Serviços LTDA
Nome Fantasia: GB Drones
Objeto Social:
Comércio atacadista de máquinas/equipamentos agropecuários
Serviço de pulverização e controle de pragas agrícolas
CNAEs: 4661-3/00 e 0161-0/01
Capital Social: R$ 150.000,00 dividido em 150.000 quotas
Sócio: Gabriel Pinheiro Lopes – 100% das quotas e administrador
Lucro 2024 DRE: 537.993,49
Serasa 708 e CPF 782</t>
        </r>
      </text>
    </comment>
  </commentList>
</comments>
</file>

<file path=xl/sharedStrings.xml><?xml version="1.0" encoding="utf-8"?>
<sst xmlns="http://schemas.openxmlformats.org/spreadsheetml/2006/main" count="852" uniqueCount="380">
  <si>
    <t>AGRO SANTANA DISTRIBUIDORA LTDA</t>
  </si>
  <si>
    <t>NT:59166 2/3</t>
  </si>
  <si>
    <t>NT:59167 2/3</t>
  </si>
  <si>
    <t>NT:59182 2/3</t>
  </si>
  <si>
    <t>NT:59166 3/3</t>
  </si>
  <si>
    <t>NT:59167 3/3</t>
  </si>
  <si>
    <t>NT:59182 3/3</t>
  </si>
  <si>
    <t>AGRO SANTANA DISTRIBUIDORA XINGU LTDA</t>
  </si>
  <si>
    <t>NT:59168 2/3</t>
  </si>
  <si>
    <t>NT:59183 2/3</t>
  </si>
  <si>
    <t>NT:59168 3/3</t>
  </si>
  <si>
    <t>NT:59183 3/3</t>
  </si>
  <si>
    <t>AGROMINAS PRODUTOS AGROPECUARIOS LTDA</t>
  </si>
  <si>
    <t>AGROSUL MAQUINAS &amp; EQUIPAMENTOS AGRICOLAS LTDA</t>
  </si>
  <si>
    <t>NT:59121 2/2</t>
  </si>
  <si>
    <t>AGUIA DRONE TECNOLOGIA TAILANDIA LTDA</t>
  </si>
  <si>
    <t>ALFA DRONE COMERCIO &amp; SERVICOS LTDA-EPP</t>
  </si>
  <si>
    <t>ALTO GIRO DRONES LTDA</t>
  </si>
  <si>
    <t>NT:59225 2/2</t>
  </si>
  <si>
    <t>ALTO GIRO DRONES LTDA - EPP</t>
  </si>
  <si>
    <t>NT:59529 2/2</t>
  </si>
  <si>
    <t>DRONE PARA SOARES LTDA</t>
  </si>
  <si>
    <t>ELETRO ENERGIA SOLAR LTDA</t>
  </si>
  <si>
    <t>NT:59537 1/3</t>
  </si>
  <si>
    <t>NT:59497 2/3</t>
  </si>
  <si>
    <t>NT:59537 2/3</t>
  </si>
  <si>
    <t>NT:59497 3/3</t>
  </si>
  <si>
    <t>NT:59537 3/3</t>
  </si>
  <si>
    <t>LCA DRONES LTDA</t>
  </si>
  <si>
    <t>NT:59528 1/1</t>
  </si>
  <si>
    <t>NT:59216 2/5</t>
  </si>
  <si>
    <t>NT:59217 2/5</t>
  </si>
  <si>
    <t>NT:59218 2/5</t>
  </si>
  <si>
    <t>NT:59219 2/5</t>
  </si>
  <si>
    <t>NT:59527 1/2</t>
  </si>
  <si>
    <t>NT:59230 2/5</t>
  </si>
  <si>
    <t>NT:59530 1/2</t>
  </si>
  <si>
    <t>NT:59173 2/2</t>
  </si>
  <si>
    <t>NT:59494 2/2</t>
  </si>
  <si>
    <t>NT:59199 2/2</t>
  </si>
  <si>
    <t>NT:59216 3/5</t>
  </si>
  <si>
    <t>NT:59217 3/5</t>
  </si>
  <si>
    <t>NT:59218 3/5</t>
  </si>
  <si>
    <t>NT:59219 3/5</t>
  </si>
  <si>
    <t>NT:59527 2/2</t>
  </si>
  <si>
    <t>NT:59230 3/5</t>
  </si>
  <si>
    <t>NT:59530 2/2</t>
  </si>
  <si>
    <t>NT:59216 4/5</t>
  </si>
  <si>
    <t>NT:59217 4/5</t>
  </si>
  <si>
    <t>NT:59218 4/5</t>
  </si>
  <si>
    <t>NT:59219 4/5</t>
  </si>
  <si>
    <t>NT:59230 4/5</t>
  </si>
  <si>
    <t>NT:59216 5/5</t>
  </si>
  <si>
    <t>NT:59217 5/5</t>
  </si>
  <si>
    <t>NT:59218 5/5</t>
  </si>
  <si>
    <t>NT:59219 5/5</t>
  </si>
  <si>
    <t>NT:59230 5/5</t>
  </si>
  <si>
    <t>M &amp; E PRODUTOS AGROPECUARIOS LTDA</t>
  </si>
  <si>
    <t>NT:59198 2/2</t>
  </si>
  <si>
    <t>MAR AUTO PECAS LTDA EPP</t>
  </si>
  <si>
    <t>NORTE DRONE AGROTECH LTDA</t>
  </si>
  <si>
    <t>NT:59102 3/3</t>
  </si>
  <si>
    <t>POTENCIA DRONES AGRICOLAS LTDA</t>
  </si>
  <si>
    <t>NT:59533 1/1</t>
  </si>
  <si>
    <t>PULVERIZA  DRONES LTDA</t>
  </si>
  <si>
    <t>PULVERIZA DRONES LTDA</t>
  </si>
  <si>
    <t>NT 59196 3/3</t>
  </si>
  <si>
    <t>NT 59197 3/3</t>
  </si>
  <si>
    <t>R L M DE MIRANDA LTDA</t>
  </si>
  <si>
    <t>NT:59221 2/3</t>
  </si>
  <si>
    <t>NT:59221 3/3</t>
  </si>
  <si>
    <t>RURAL DRONE AGRICULTURA LTDA</t>
  </si>
  <si>
    <t>NT:59205 2/4</t>
  </si>
  <si>
    <t>NT:59210 2/3</t>
  </si>
  <si>
    <t>NT:59212 1/1</t>
  </si>
  <si>
    <t>NT:59239 1/1</t>
  </si>
  <si>
    <t>NT:59227 2/5</t>
  </si>
  <si>
    <t>NT:59228 2/5</t>
  </si>
  <si>
    <t>NT:59205 3/4</t>
  </si>
  <si>
    <t>NT:59210 3/3</t>
  </si>
  <si>
    <t>NT:59227 3/5</t>
  </si>
  <si>
    <t>NT:59228 3/5</t>
  </si>
  <si>
    <t>NT:59205 4/4</t>
  </si>
  <si>
    <t>NT:59227 4/5</t>
  </si>
  <si>
    <t>NT:59228 4/5</t>
  </si>
  <si>
    <t>NT:59227 5/5</t>
  </si>
  <si>
    <t>NT:59228 5/5</t>
  </si>
  <si>
    <t>PEDIDO 718 NT 350569</t>
  </si>
  <si>
    <t>SANDRA BEVILAQUA 70188262920</t>
  </si>
  <si>
    <t>NT:59231 2/3</t>
  </si>
  <si>
    <t>SOUSA &amp; LUSTOSA LTDA</t>
  </si>
  <si>
    <t>NT:59231 3/3</t>
  </si>
  <si>
    <t>TERRA BOA DRONES LTDA</t>
  </si>
  <si>
    <t>NT:59372 4/4</t>
  </si>
  <si>
    <t>NT:59123 4/4</t>
  </si>
  <si>
    <t>NT:59440 4/4</t>
  </si>
  <si>
    <t>TM DRONES E MAQUINAS LTDA</t>
  </si>
  <si>
    <t>NT:59449 3/3</t>
  </si>
  <si>
    <t>NT:59148 3/3</t>
  </si>
  <si>
    <t>NT:59149 3/3</t>
  </si>
  <si>
    <t>NT:59523 2/2</t>
  </si>
  <si>
    <t>VR SOLAR E COMPRESSORES LTDA</t>
  </si>
  <si>
    <t>VRJ COMERCIO DE DRONES LTDA</t>
  </si>
  <si>
    <t>NT:59204 2/5</t>
  </si>
  <si>
    <t>NT:59209 2/5</t>
  </si>
  <si>
    <t>NT:59213 1/2</t>
  </si>
  <si>
    <t>NT:59139 4/5</t>
  </si>
  <si>
    <t>NT:59204 3/5</t>
  </si>
  <si>
    <t>NT:59209 3/5</t>
  </si>
  <si>
    <t>NT:59213 2/2</t>
  </si>
  <si>
    <t>NT:59139 5/5</t>
  </si>
  <si>
    <t>NT:59204 4/5</t>
  </si>
  <si>
    <t>NT:59209 4/5</t>
  </si>
  <si>
    <t>NT:59204 5/5</t>
  </si>
  <si>
    <t>NT:59209 5/5</t>
  </si>
  <si>
    <t>WR DRONES COMERCIO E SERVICO LTDA</t>
  </si>
  <si>
    <t>NT:59220 1/3</t>
  </si>
  <si>
    <t>NT:59517 1/2</t>
  </si>
  <si>
    <t>NT:59532 1/2</t>
  </si>
  <si>
    <t>NT:59169 2/2</t>
  </si>
  <si>
    <t>NT:59517 2/2</t>
  </si>
  <si>
    <t>NT:59220 2/3</t>
  </si>
  <si>
    <t>NT:59532 2/2</t>
  </si>
  <si>
    <t>NT:59220 3/3</t>
  </si>
  <si>
    <t>VENCIMENTO</t>
  </si>
  <si>
    <t>NF</t>
  </si>
  <si>
    <t>CLIENTE</t>
  </si>
  <si>
    <t>VALOR PARCELAR</t>
  </si>
  <si>
    <t>SALDO</t>
  </si>
  <si>
    <t>Subdealer/Cliente</t>
  </si>
  <si>
    <t>CNPJ</t>
  </si>
  <si>
    <t>Limite de Crédito (R$)</t>
  </si>
  <si>
    <t>VRJ COMÉRCIO DE DRONES LTDA</t>
  </si>
  <si>
    <t>50.400.474/0001-07</t>
  </si>
  <si>
    <t>LCA DRONES ITUPIRANGA (DRE NÃO ABRE)</t>
  </si>
  <si>
    <t>49.781.707/0001-71</t>
  </si>
  <si>
    <t>LCA DRONES XINGUARA</t>
  </si>
  <si>
    <t>49.781.707/0003-33</t>
  </si>
  <si>
    <t>AGRO SANTANA OURILÂNDIA LTDA (COMPARTILHA LIMITE COM LOJAS  Tucumã &amp; São Félix do Xingu)</t>
  </si>
  <si>
    <t>30.506.654/0001-52</t>
  </si>
  <si>
    <t>62.353.921/0001-95</t>
  </si>
  <si>
    <t>49.424.631/0001-27</t>
  </si>
  <si>
    <t xml:space="preserve">55.557.542/0002-32 </t>
  </si>
  <si>
    <t>55.557.542/0001-51</t>
  </si>
  <si>
    <t>DN SOLUCOES DRONES LTDA (SEM DRE &amp; CONTRATO SOCIAL)</t>
  </si>
  <si>
    <t>52.504.023/0002-18</t>
  </si>
  <si>
    <t>HSD DRONES LTDA (SEM DRE &amp; CONTRATO SOCIAL)</t>
  </si>
  <si>
    <t>55.636.200/0001-27</t>
  </si>
  <si>
    <t>T. DA SILVA COSTA DRONES E MANUTENÇÕES LTDA (SEM DRE &amp; CONTRATO SOCIAL)</t>
  </si>
  <si>
    <t>56.079.883/0001-21</t>
  </si>
  <si>
    <t>DIOGO H DE ALMEIDA LTDA (SEM DRE &amp; CONTRATO SOCIAL)</t>
  </si>
  <si>
    <t>57.663.515/0001-99</t>
  </si>
  <si>
    <t>RURAL DRONE VENDAS E SERVIÇOS DE MANUTENÇÃO LTDA</t>
  </si>
  <si>
    <t>52.656.507/0001-00</t>
  </si>
  <si>
    <t>Compartilha limite com final 00</t>
  </si>
  <si>
    <t>POTÊNCIA DRONES (SEM DRE E CONTRATO SOCIAL DO CNPJ 61.800.510/0001-38)</t>
  </si>
  <si>
    <t>61.800.510/0001-38</t>
  </si>
  <si>
    <t>30.506.654/0002-33</t>
  </si>
  <si>
    <t>51.236.106/0001-20</t>
  </si>
  <si>
    <t>DRONE SANTA MARIA LTDA</t>
  </si>
  <si>
    <t>57.046.889/0001-65</t>
  </si>
  <si>
    <t>WR DRONES COMÉRCIO E SERVIÇO LTDA</t>
  </si>
  <si>
    <t>58.195.457/0001-89</t>
  </si>
  <si>
    <t>61.392.419/0001-20</t>
  </si>
  <si>
    <t>AGROGEO COMÉRCIO E SERVIÇOS DE ENGENHARIA E CONSULTORIA FLORESTAL LTDA</t>
  </si>
  <si>
    <t>41.186.605/0001-04</t>
  </si>
  <si>
    <t>54.272.575.0001-92</t>
  </si>
  <si>
    <t>Compartilha limite com final 92</t>
  </si>
  <si>
    <t>54.272.575/0002-73</t>
  </si>
  <si>
    <t>TERRA BOA MÁQUINAS AGRÍCOLAS LTDA</t>
  </si>
  <si>
    <t>16.603.091/0001-90</t>
  </si>
  <si>
    <t xml:space="preserve">MAR AUTO PECAS LTDA EPP </t>
  </si>
  <si>
    <t>13.942.645/0001-95</t>
  </si>
  <si>
    <t>PULVERIZA  DRONES LTDA - PALMAS</t>
  </si>
  <si>
    <t>51.162.926/0002-03</t>
  </si>
  <si>
    <t>57.821.404/0001-63</t>
  </si>
  <si>
    <t>J J VANZIN COMERCIAL LTDA FILIAL</t>
  </si>
  <si>
    <t>14.063.977/0002-43</t>
  </si>
  <si>
    <t>J J VANZIN COMERCIAL LTDA MATRIZ</t>
  </si>
  <si>
    <t>14.063.977/0001-62</t>
  </si>
  <si>
    <t>COMPARTILHA LIMITE COM FILIAL</t>
  </si>
  <si>
    <t>AGRODRONE SOLUÇÕES AGRÍCOLAS LTDA -  Matriz</t>
  </si>
  <si>
    <t>55.529.122/0001-61</t>
  </si>
  <si>
    <t>AGRODRONE SOLUÇÕES AGRÍCOLAS LTDA -  Filial</t>
  </si>
  <si>
    <t>55.529.122/0002-42</t>
  </si>
  <si>
    <t>Compartilha limite com matriz</t>
  </si>
  <si>
    <t>DRONE RURAL COMERCIO E SERVICOS AGRICOLAS LTDA</t>
  </si>
  <si>
    <t>13.178.664/0002-78</t>
  </si>
  <si>
    <t>AGROPECUÁRIA AMIGOS DO CAMPO LTDA</t>
  </si>
  <si>
    <t>12.062.371/0001-87</t>
  </si>
  <si>
    <t>AEROCAMPO TECNOLOGIA E SOLUCOES AGRICOLAS LTDA</t>
  </si>
  <si>
    <t>54.958.978/0001-90</t>
  </si>
  <si>
    <t>05.963.456/0001-70</t>
  </si>
  <si>
    <t>ALFA DRONE COMÉRCIO &amp; SERVIÇOS LTDA</t>
  </si>
  <si>
    <t>55.101.053/0001-90</t>
  </si>
  <si>
    <t>AGROMINAS PRODUTOS AGROPECUÁRIOS LTDA</t>
  </si>
  <si>
    <t>18.571.855/0004-80</t>
  </si>
  <si>
    <t>D R MIRANORTE LTDA</t>
  </si>
  <si>
    <t>62.697.676/0001-33</t>
  </si>
  <si>
    <t xml:space="preserve">A T M MAQUINAS  LTDA - ME </t>
  </si>
  <si>
    <t>21.352.178/0001-71</t>
  </si>
  <si>
    <t>GB DRONES COMERCIO E SERVICOS LTDA</t>
  </si>
  <si>
    <t>59.207.933/0001-05</t>
  </si>
  <si>
    <t>PULVERIZA DRONES LTDA - ARAGUAINA</t>
  </si>
  <si>
    <t xml:space="preserve">51.162.926/0001-14 &amp; </t>
  </si>
  <si>
    <t>TEIXEIRA COMERCIO DE PRODUTOS AGROPECUARIOS LTDA - EPP</t>
  </si>
  <si>
    <t>36.822.250/0001-54</t>
  </si>
  <si>
    <t>DRONE NORTE MARABA - MATRIZ</t>
  </si>
  <si>
    <t>61.302.271/0001-96</t>
  </si>
  <si>
    <t>DRONE NORTE JACUNDA</t>
  </si>
  <si>
    <t>55.908.959/0001-11</t>
  </si>
  <si>
    <t>DRONE NORTE FLORESTA DO ARAGUAIANA</t>
  </si>
  <si>
    <t>56.424.924/0001-70</t>
  </si>
  <si>
    <t>Drone Chapadão Tecnologia no campo Itaituba</t>
  </si>
  <si>
    <t>55.299.435/0001-70</t>
  </si>
  <si>
    <t>Drone Chapadão Tecnologia no campo MTA</t>
  </si>
  <si>
    <t>55.729.705/0001-36</t>
  </si>
  <si>
    <t>Drone Chapadão Tecnologia no Campo - Trairao</t>
  </si>
  <si>
    <t>57.951.115/0001-89</t>
  </si>
  <si>
    <t>DRONE NORTE CHAPADAO MACAPÁ</t>
  </si>
  <si>
    <t>62.521.859/0001-01</t>
  </si>
  <si>
    <t>DRONE CHAPADÃO PLACAS</t>
  </si>
  <si>
    <t>60.762.005/0001-83</t>
  </si>
  <si>
    <t>DRONE NORTE SANTANA DO ARAGUAIA LTDA</t>
  </si>
  <si>
    <t>56.388.340/0001-96</t>
  </si>
  <si>
    <t>58.002.062/0001-12</t>
  </si>
  <si>
    <t>DRONE NORTE CHP LTDA</t>
  </si>
  <si>
    <t>62.264.011/0001-36</t>
  </si>
  <si>
    <t>55.074.620/0001-67</t>
  </si>
  <si>
    <t>DRONE SOARES LTDA</t>
  </si>
  <si>
    <t>57.917.351/0001-89</t>
  </si>
  <si>
    <t>DRONE NORTE TECNOLOGIA NO CAMPO PLACAS LTDA</t>
  </si>
  <si>
    <t>63.565.377/0001-08</t>
  </si>
  <si>
    <t>Total Geral</t>
  </si>
  <si>
    <t>Valor parcela</t>
  </si>
  <si>
    <t>Clientes:</t>
  </si>
  <si>
    <t>NT:59243 1/4</t>
  </si>
  <si>
    <t>NT:59243 2/4</t>
  </si>
  <si>
    <t>NT:59243 3/4</t>
  </si>
  <si>
    <t>NT:59243 4/4</t>
  </si>
  <si>
    <t>NT:59244 1/4</t>
  </si>
  <si>
    <t>NT:59244 2/4</t>
  </si>
  <si>
    <t>NT:59244 3/4</t>
  </si>
  <si>
    <t>NT:59244 4/4</t>
  </si>
  <si>
    <t>NT:59240 2/4</t>
  </si>
  <si>
    <t>NT:59240 3/4</t>
  </si>
  <si>
    <t>NT:59240 4/4</t>
  </si>
  <si>
    <t>NT:59248 2/2</t>
  </si>
  <si>
    <t>NT:59538 2/4</t>
  </si>
  <si>
    <t>NT:59538 3/4</t>
  </si>
  <si>
    <t>NT:59538 4/4</t>
  </si>
  <si>
    <t>NT:59242 1/4</t>
  </si>
  <si>
    <t>NT:59242 2/4</t>
  </si>
  <si>
    <t>NT:59242 3/4</t>
  </si>
  <si>
    <t>NT:59242 4/4</t>
  </si>
  <si>
    <t>NT:59247 2/5</t>
  </si>
  <si>
    <t>NT:59247 3/5</t>
  </si>
  <si>
    <t>NT:59247 4/5</t>
  </si>
  <si>
    <t>NT:59247 5/5</t>
  </si>
  <si>
    <t>NT:59245 2/4</t>
  </si>
  <si>
    <t>NT:59245 3/4</t>
  </si>
  <si>
    <t>NT:59245 4/4</t>
  </si>
  <si>
    <t>NT:59541 2/4</t>
  </si>
  <si>
    <t>NT:59541 3/4</t>
  </si>
  <si>
    <t>NT:59541 4/4</t>
  </si>
  <si>
    <t>NT:59249 2/4</t>
  </si>
  <si>
    <t>NT:59249 3/4</t>
  </si>
  <si>
    <t>NT:59249 4/4</t>
  </si>
  <si>
    <t>(vazio)</t>
  </si>
  <si>
    <t xml:space="preserve">INOVA DRONES </t>
  </si>
  <si>
    <t>(SEM DRE E CONTRATO SOCIAL)</t>
  </si>
  <si>
    <t xml:space="preserve">AGRO PRATTO SOLUTIONS </t>
  </si>
  <si>
    <t>( FALTA DRE)</t>
  </si>
  <si>
    <t>Limite retirado por excesso de atrasos.</t>
  </si>
  <si>
    <t>SOUSA &amp; LUSTOSA LTDA -FILIAL</t>
  </si>
  <si>
    <t>NT:59270 1/4</t>
  </si>
  <si>
    <t>NT:59270 2/4</t>
  </si>
  <si>
    <t>NT:59270 3/4</t>
  </si>
  <si>
    <t>NT:59270 4/4</t>
  </si>
  <si>
    <t>NT:59271 1/4</t>
  </si>
  <si>
    <t>NT:59271 2/4</t>
  </si>
  <si>
    <t>NT:59271 3/4</t>
  </si>
  <si>
    <t>NT:59271 4/4</t>
  </si>
  <si>
    <t>NT:59281 1/1</t>
  </si>
  <si>
    <t>NT:59282 1/3</t>
  </si>
  <si>
    <t>NT:59282 2/3</t>
  </si>
  <si>
    <t>NT:59282 3/3</t>
  </si>
  <si>
    <t>NT:59283 1/2</t>
  </si>
  <si>
    <t>NT:59283 2/2</t>
  </si>
  <si>
    <t>NT:59626 1/2</t>
  </si>
  <si>
    <t>NT:59626 2/2</t>
  </si>
  <si>
    <t>NT:59627 1/3</t>
  </si>
  <si>
    <t>NT:59627 2/3</t>
  </si>
  <si>
    <t>NT:59627 3/3</t>
  </si>
  <si>
    <t>NT:59291 1/4</t>
  </si>
  <si>
    <t>NT:59291 2/4</t>
  </si>
  <si>
    <t>NT:59291 3/4</t>
  </si>
  <si>
    <t>NT:59291 4/4</t>
  </si>
  <si>
    <t>NT:59292 1/4</t>
  </si>
  <si>
    <t>NT:59292 2/4</t>
  </si>
  <si>
    <t>NT:59292 3/4</t>
  </si>
  <si>
    <t>NT:59292 4/4</t>
  </si>
  <si>
    <t>NT:59631 1/1</t>
  </si>
  <si>
    <t>NT:59295 1/4</t>
  </si>
  <si>
    <t>NT:59295 2/4</t>
  </si>
  <si>
    <t>NT:59295 3/4</t>
  </si>
  <si>
    <t>NT:59295 4/4</t>
  </si>
  <si>
    <t>NT:59285 1/3</t>
  </si>
  <si>
    <t>NT:59285 2/3</t>
  </si>
  <si>
    <t>NT:59285 3/3</t>
  </si>
  <si>
    <t>NT:59286 1/1</t>
  </si>
  <si>
    <t>NT:59287 1/4</t>
  </si>
  <si>
    <t>NT:59287 2/4</t>
  </si>
  <si>
    <t>NT:59287 3/4</t>
  </si>
  <si>
    <t>NT:59287 4/4</t>
  </si>
  <si>
    <t>NT:59293 1/4</t>
  </si>
  <si>
    <t>NT:59293 2/4</t>
  </si>
  <si>
    <t>NT:59293 3/4</t>
  </si>
  <si>
    <t>NT:59293 4/4</t>
  </si>
  <si>
    <t>NT:59578 1/1</t>
  </si>
  <si>
    <t>NT:59284 1/3</t>
  </si>
  <si>
    <t>NT:59284 2/3</t>
  </si>
  <si>
    <t>NT:59284 3/3</t>
  </si>
  <si>
    <t>NT:59290 2/3</t>
  </si>
  <si>
    <t>NT:59290 3/3</t>
  </si>
  <si>
    <t>NT:59279 1/3</t>
  </si>
  <si>
    <t>NT:59279 2/3</t>
  </si>
  <si>
    <t>NT:59279 3/3</t>
  </si>
  <si>
    <t>NT:59623 1/3</t>
  </si>
  <si>
    <t>LEITE &amp; SILVA ELETROELETRONICOS LTDA</t>
  </si>
  <si>
    <t>NT:59623 2/3</t>
  </si>
  <si>
    <t>NT:59623 3/3</t>
  </si>
  <si>
    <t>NT:59276 1/1</t>
  </si>
  <si>
    <t>NT:59272 2/4</t>
  </si>
  <si>
    <t>AGRODRONE SOLU??ES AGRíCOLAS LTDA</t>
  </si>
  <si>
    <t>NT:59272 3/4</t>
  </si>
  <si>
    <t>NT:59272 4/4</t>
  </si>
  <si>
    <t>NT:5 1/1</t>
  </si>
  <si>
    <t>NT:59565 1/1</t>
  </si>
  <si>
    <t>NT:59258 2/5</t>
  </si>
  <si>
    <t>NT:59259 2/5</t>
  </si>
  <si>
    <t>NT:59261 2/4</t>
  </si>
  <si>
    <t>NT:59298 1/4</t>
  </si>
  <si>
    <t>NT:59299 1/4</t>
  </si>
  <si>
    <t>NT:59258 3/5</t>
  </si>
  <si>
    <t>NT:59259 3/5</t>
  </si>
  <si>
    <t>NT:59261 3/4</t>
  </si>
  <si>
    <t>NT:59298 2/4</t>
  </si>
  <si>
    <t>NT:59299 2/4</t>
  </si>
  <si>
    <t>NT:59258 4/5</t>
  </si>
  <si>
    <t>NT:59259 4/5</t>
  </si>
  <si>
    <t>NT:59261 4/4</t>
  </si>
  <si>
    <t>NT:59298 3/4</t>
  </si>
  <si>
    <t>NT:59299 3/4</t>
  </si>
  <si>
    <t>NT:59258 5/5</t>
  </si>
  <si>
    <t>NT:59259 5/5</t>
  </si>
  <si>
    <t>NT:59298 4/4</t>
  </si>
  <si>
    <t>NT:59299 4/4</t>
  </si>
  <si>
    <t>NT:59253 1/3</t>
  </si>
  <si>
    <t>NT:59262 2/2</t>
  </si>
  <si>
    <t>NT:59253 2/3</t>
  </si>
  <si>
    <t>NT:59253 3/3</t>
  </si>
  <si>
    <t>NT:59252 1/3</t>
  </si>
  <si>
    <t>NT:59265 1/3</t>
  </si>
  <si>
    <t>NT:59573 1/3</t>
  </si>
  <si>
    <t>NT:59252 2/3</t>
  </si>
  <si>
    <t>NT:59265 2/3</t>
  </si>
  <si>
    <t>NT:59573 2/3</t>
  </si>
  <si>
    <t>NT:59252 3/3</t>
  </si>
  <si>
    <t>NT:59265 3/3</t>
  </si>
  <si>
    <t>NT:59573 3/3</t>
  </si>
  <si>
    <t>NT:59556 1/3</t>
  </si>
  <si>
    <t>NT:59556 2/3</t>
  </si>
  <si>
    <t>NT:59556 3/3</t>
  </si>
  <si>
    <t>NT:59260 1/1</t>
  </si>
  <si>
    <t>(Tudo)</t>
  </si>
  <si>
    <t>02/03/2026 - 08/03/2026</t>
  </si>
  <si>
    <t>30/03/2026 - 05/04/2026</t>
  </si>
  <si>
    <t>27/04/2026 - 03/05/2026</t>
  </si>
  <si>
    <t>09/02/2026 - 15/02/2026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</si>
</sst>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R$&quot;\ #,##0;\-&quot;R$&quot;\ #,##0"/>
    <numFmt numFmtId="7" formatCode="&quot;R$&quot;\ #,##0.00;\-&quot;R$&quot;\ #,##0.00"/>
    <numFmt numFmtId="164" formatCode="00000"/>
    <numFmt numFmtId="165" formatCode="_-[$R$-416]\ * #,##0.00_-;\-[$R$-416]\ * #,##0.00_-;_-[$R$-416]\ * &quot;-&quot;??_-;_-@_-"/>
  </numFmts>
  <fonts count="19" x14ac:knownFonts="1">
    <font>
      <sz val="11"/>
      <color indexed="8"/>
      <name val="Calibri"/>
      <charset val="1"/>
    </font>
    <font>
      <sz val="8"/>
      <color indexed="10"/>
      <name val="Arial"/>
      <family val="2"/>
    </font>
    <font>
      <sz val="11"/>
      <color indexed="8"/>
      <name val="Calibri"/>
      <family val="2"/>
    </font>
    <font>
      <sz val="11"/>
      <color theme="0"/>
      <name val="Calibri"/>
      <family val="2"/>
    </font>
    <font>
      <sz val="12"/>
      <color rgb="FFFF0000"/>
      <name val="Calibri"/>
      <family val="2"/>
      <scheme val="minor"/>
    </font>
    <font>
      <b/>
      <sz val="11"/>
      <color theme="0"/>
      <name val="Aptos Display"/>
      <family val="2"/>
    </font>
    <font>
      <sz val="11"/>
      <color theme="1"/>
      <name val="Aptos Display"/>
      <family val="2"/>
    </font>
    <font>
      <sz val="11"/>
      <name val="Aptos Display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sz val="11"/>
      <color rgb="FF000000"/>
      <name val="Aptos Display"/>
      <family val="2"/>
    </font>
    <font>
      <sz val="11"/>
      <color indexed="8"/>
      <name val="Aptos Display"/>
      <family val="2"/>
    </font>
    <font>
      <sz val="11"/>
      <color theme="0"/>
      <name val="Aptos Display"/>
      <family val="2"/>
    </font>
    <font>
      <sz val="8"/>
      <color indexed="10"/>
      <name val="Arial"/>
      <family val="2"/>
    </font>
    <font>
      <sz val="14"/>
      <color indexed="8"/>
      <name val="Calibri"/>
      <family val="2"/>
    </font>
    <font>
      <sz val="8"/>
      <color indexed="10"/>
      <name val="Arial"/>
      <charset val="1"/>
    </font>
    <font>
      <sz val="14"/>
      <color indexed="8"/>
      <name val="Calibri"/>
      <charset val="1"/>
    </font>
    <font>
      <b/>
      <sz val="16"/>
      <color indexed="8"/>
      <name val="Aptos Display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5" fontId="2" fillId="0" borderId="0">
      <alignment vertical="top"/>
    </xf>
  </cellStyleXfs>
  <cellXfs count="72">
    <xf numFmtId="0" fontId="0" fillId="0" borderId="0" xfId="0" applyProtection="1">
      <alignment vertical="top"/>
      <protection locked="0"/>
    </xf>
    <xf numFmtId="0" fontId="3" fillId="2" borderId="2" xfId="0" applyFont="1" applyFill="1" applyBorder="1">
      <alignment vertical="top"/>
    </xf>
    <xf numFmtId="0" fontId="3" fillId="2" borderId="0" xfId="0" applyFont="1" applyFill="1">
      <alignment vertical="top"/>
    </xf>
    <xf numFmtId="0" fontId="1" fillId="3" borderId="2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4" fontId="1" fillId="3" borderId="0" xfId="0" applyNumberFormat="1" applyFont="1" applyFill="1" applyAlignment="1">
      <alignment horizontal="right" vertical="top"/>
    </xf>
    <xf numFmtId="0" fontId="1" fillId="4" borderId="2" xfId="0" applyFont="1" applyFill="1" applyBorder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4" fontId="1" fillId="4" borderId="0" xfId="0" applyNumberFormat="1" applyFont="1" applyFill="1" applyAlignment="1">
      <alignment horizontal="right" vertical="top"/>
    </xf>
    <xf numFmtId="14" fontId="4" fillId="5" borderId="4" xfId="0" applyNumberFormat="1" applyFont="1" applyFill="1" applyBorder="1" applyAlignment="1">
      <alignment horizontal="center" vertical="top"/>
    </xf>
    <xf numFmtId="0" fontId="0" fillId="0" borderId="0" xfId="0" pivotButton="1" applyProtection="1">
      <alignment vertical="top"/>
      <protection locked="0"/>
    </xf>
    <xf numFmtId="0" fontId="0" fillId="0" borderId="0" xfId="0" applyAlignment="1" applyProtection="1">
      <alignment horizontal="left" vertical="top"/>
      <protection locked="0"/>
    </xf>
    <xf numFmtId="4" fontId="0" fillId="0" borderId="0" xfId="0" applyNumberFormat="1" applyProtection="1">
      <alignment vertical="top"/>
      <protection locked="0"/>
    </xf>
    <xf numFmtId="0" fontId="14" fillId="4" borderId="2" xfId="0" applyFont="1" applyFill="1" applyBorder="1" applyAlignment="1">
      <alignment horizontal="left" vertical="top"/>
    </xf>
    <xf numFmtId="0" fontId="14" fillId="4" borderId="0" xfId="0" applyFont="1" applyFill="1" applyAlignment="1">
      <alignment horizontal="left" vertical="top"/>
    </xf>
    <xf numFmtId="4" fontId="14" fillId="4" borderId="0" xfId="0" applyNumberFormat="1" applyFont="1" applyFill="1" applyAlignment="1">
      <alignment horizontal="right" vertical="top"/>
    </xf>
    <xf numFmtId="5" fontId="12" fillId="0" borderId="0" xfId="1" applyFont="1" applyAlignment="1">
      <alignment horizontal="center" vertical="top"/>
    </xf>
    <xf numFmtId="0" fontId="6" fillId="3" borderId="5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164" fontId="9" fillId="3" borderId="5" xfId="0" applyNumberFormat="1" applyFont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5" xfId="0" applyFill="1" applyBorder="1" applyAlignment="1">
      <alignment horizontal="left" vertical="center"/>
    </xf>
    <xf numFmtId="1" fontId="6" fillId="3" borderId="5" xfId="0" applyNumberFormat="1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1" fontId="6" fillId="4" borderId="5" xfId="0" applyNumberFormat="1" applyFont="1" applyFill="1" applyBorder="1" applyAlignment="1">
      <alignment horizontal="left" vertical="center"/>
    </xf>
    <xf numFmtId="1" fontId="6" fillId="3" borderId="5" xfId="0" applyNumberFormat="1" applyFont="1" applyFill="1" applyBorder="1" applyAlignment="1">
      <alignment horizontal="left" vertical="center"/>
    </xf>
    <xf numFmtId="1" fontId="6" fillId="3" borderId="6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5" fontId="13" fillId="2" borderId="9" xfId="1" applyFont="1" applyFill="1" applyBorder="1" applyAlignment="1">
      <alignment horizontal="center" vertical="top"/>
    </xf>
    <xf numFmtId="0" fontId="6" fillId="3" borderId="10" xfId="0" applyFont="1" applyFill="1" applyBorder="1" applyAlignment="1">
      <alignment horizontal="left"/>
    </xf>
    <xf numFmtId="165" fontId="12" fillId="3" borderId="3" xfId="1" applyNumberFormat="1" applyFont="1" applyFill="1" applyBorder="1" applyAlignment="1">
      <alignment horizontal="center" vertical="top"/>
    </xf>
    <xf numFmtId="0" fontId="7" fillId="4" borderId="10" xfId="0" applyFont="1" applyFill="1" applyBorder="1" applyAlignment="1">
      <alignment horizontal="left"/>
    </xf>
    <xf numFmtId="165" fontId="12" fillId="4" borderId="3" xfId="1" applyNumberFormat="1" applyFont="1" applyFill="1" applyBorder="1" applyAlignment="1">
      <alignment horizontal="center" vertical="top"/>
    </xf>
    <xf numFmtId="0" fontId="7" fillId="3" borderId="10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9" fillId="3" borderId="10" xfId="0" applyFont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10" xfId="0" applyFill="1" applyBorder="1" applyAlignment="1">
      <alignment horizontal="left" vertical="center" wrapText="1"/>
    </xf>
    <xf numFmtId="4" fontId="6" fillId="3" borderId="10" xfId="0" applyNumberFormat="1" applyFont="1" applyFill="1" applyBorder="1" applyAlignment="1">
      <alignment horizontal="left" vertical="center" wrapText="1"/>
    </xf>
    <xf numFmtId="4" fontId="6" fillId="4" borderId="10" xfId="0" applyNumberFormat="1" applyFont="1" applyFill="1" applyBorder="1" applyAlignment="1">
      <alignment horizontal="left" vertical="center" wrapText="1"/>
    </xf>
    <xf numFmtId="4" fontId="11" fillId="3" borderId="10" xfId="0" applyNumberFormat="1" applyFont="1" applyFill="1" applyBorder="1" applyAlignment="1">
      <alignment horizontal="left" vertical="center" wrapText="1"/>
    </xf>
    <xf numFmtId="4" fontId="6" fillId="3" borderId="11" xfId="0" applyNumberFormat="1" applyFont="1" applyFill="1" applyBorder="1" applyAlignment="1">
      <alignment horizontal="left" vertical="center" wrapText="1"/>
    </xf>
    <xf numFmtId="165" fontId="12" fillId="3" borderId="1" xfId="1" applyNumberFormat="1" applyFont="1" applyFill="1" applyBorder="1" applyAlignment="1">
      <alignment horizontal="center" vertical="top"/>
    </xf>
    <xf numFmtId="0" fontId="15" fillId="0" borderId="0" xfId="0" applyFont="1" applyProtection="1">
      <alignment vertical="top"/>
      <protection locked="0"/>
    </xf>
    <xf numFmtId="7" fontId="15" fillId="0" borderId="0" xfId="1" applyNumberFormat="1" applyFont="1">
      <alignment vertical="top"/>
    </xf>
    <xf numFmtId="0" fontId="0" fillId="0" borderId="0" xfId="0" applyAlignment="1" applyProtection="1">
      <alignment horizontal="center" vertical="top"/>
      <protection locked="0"/>
    </xf>
    <xf numFmtId="0" fontId="16" fillId="4" borderId="2" xfId="0" applyFont="1" applyFill="1" applyBorder="1" applyAlignment="1">
      <alignment horizontal="left" vertical="top"/>
    </xf>
    <xf numFmtId="0" fontId="16" fillId="4" borderId="0" xfId="0" applyFont="1" applyFill="1" applyAlignment="1">
      <alignment horizontal="left" vertical="top"/>
    </xf>
    <xf numFmtId="4" fontId="16" fillId="4" borderId="0" xfId="0" applyNumberFormat="1" applyFont="1" applyFill="1" applyAlignment="1">
      <alignment horizontal="right" vertical="top"/>
    </xf>
    <xf numFmtId="7" fontId="17" fillId="0" borderId="0" xfId="0" applyNumberFormat="1" applyFont="1" applyProtection="1">
      <alignment vertical="top"/>
      <protection locked="0"/>
    </xf>
    <xf numFmtId="7" fontId="18" fillId="0" borderId="0" xfId="0" pivotButton="1" applyNumberFormat="1" applyFont="1" applyAlignment="1" applyProtection="1">
      <alignment horizontal="center" vertical="center"/>
      <protection locked="0"/>
    </xf>
    <xf numFmtId="7" fontId="18" fillId="0" borderId="0" xfId="0" pivotButton="1" applyNumberFormat="1" applyFont="1" applyProtection="1">
      <alignment vertical="top"/>
      <protection locked="0"/>
    </xf>
    <xf numFmtId="7" fontId="18" fillId="0" borderId="0" xfId="0" pivotButton="1" applyNumberFormat="1" applyFont="1" applyAlignment="1" applyProtection="1">
      <alignment horizontal="center" vertical="top"/>
      <protection locked="0"/>
    </xf>
    <xf numFmtId="7" fontId="17" fillId="0" borderId="0" xfId="0" applyNumberFormat="1" applyFont="1" applyAlignment="1" applyProtection="1">
      <alignment horizontal="center" vertical="top"/>
      <protection locked="0"/>
    </xf>
    <xf numFmtId="0" fontId="16" fillId="0" borderId="0" xfId="0" applyFont="1" applyAlignment="1">
      <alignment horizontal="left" vertical="top"/>
    </xf>
    <xf numFmtId="4" fontId="16" fillId="0" borderId="0" xfId="0" applyNumberFormat="1" applyFont="1" applyAlignment="1">
      <alignment horizontal="right" vertical="top"/>
    </xf>
    <xf numFmtId="0" fontId="0" fillId="0" borderId="0" xfId="0" applyAlignment="1" applyProtection="1">
      <alignment horizontal="left" vertical="top" indent="1"/>
      <protection locked="0"/>
    </xf>
    <xf numFmtId="7" fontId="15" fillId="0" borderId="0" xfId="0" applyNumberFormat="1" applyFont="1" applyFill="1" applyBorder="1" applyAlignment="1" applyProtection="1">
      <alignment horizontal="center" vertical="top"/>
    </xf>
    <xf numFmtId="0" fontId="0" fillId="0" borderId="0" xfId="0" applyAlignment="1" applyProtection="1">
      <alignment horizontal="left" vertical="top" indent="2"/>
      <protection locked="0"/>
    </xf>
  </cellXfs>
  <cellStyles count="2">
    <cellStyle name="Moeda" xfId="1" builtinId="4"/>
    <cellStyle name="Normal" xfId="0" builtinId="0"/>
  </cellStyles>
  <dxfs count="12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9" formatCode="&quot;R$&quot;\ #,##0;\-&quot;R$&quot;\ 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/>
      </font>
    </dxf>
    <dxf>
      <font>
        <name val="Aptos Display"/>
      </font>
    </dxf>
    <dxf>
      <font>
        <sz val="20"/>
      </font>
    </dxf>
    <dxf>
      <alignment horizontal="center"/>
    </dxf>
    <dxf>
      <alignment vertical="center"/>
    </dxf>
    <dxf>
      <font>
        <name val="Aptos Display"/>
      </font>
    </dxf>
    <dxf>
      <font>
        <name val="Aptos Display"/>
      </font>
    </dxf>
    <dxf>
      <font>
        <name val="Aptos Display"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9" formatCode="&quot;R$&quot;\ #,##0;\-&quot;R$&quot;\ 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/>
      </font>
    </dxf>
    <dxf>
      <font>
        <name val="Aptos Display"/>
      </font>
    </dxf>
    <dxf>
      <font>
        <sz val="20"/>
      </font>
    </dxf>
    <dxf>
      <alignment horizontal="center"/>
    </dxf>
    <dxf>
      <alignment vertical="center"/>
    </dxf>
    <dxf>
      <font>
        <name val="Aptos Display"/>
      </font>
    </dxf>
    <dxf>
      <font>
        <name val="Aptos Display"/>
      </font>
    </dxf>
    <dxf>
      <font>
        <name val="Aptos Display"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9" formatCode="&quot;R$&quot;\ #,##0;\-&quot;R$&quot;\ 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/>
      </font>
    </dxf>
    <dxf>
      <font>
        <name val="Aptos Display"/>
      </font>
    </dxf>
    <dxf>
      <font>
        <sz val="20"/>
      </font>
    </dxf>
    <dxf>
      <alignment horizontal="center"/>
    </dxf>
    <dxf>
      <alignment vertical="center"/>
    </dxf>
    <dxf>
      <font>
        <name val="Aptos Display"/>
      </font>
    </dxf>
    <dxf>
      <font>
        <name val="Aptos Display"/>
      </font>
    </dxf>
    <dxf>
      <font>
        <name val="Aptos Display"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9" formatCode="&quot;R$&quot;\ #,##0;\-&quot;R$&quot;\ 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/>
      </font>
    </dxf>
    <dxf>
      <font>
        <name val="Aptos Display"/>
      </font>
    </dxf>
    <dxf>
      <font>
        <sz val="20"/>
      </font>
    </dxf>
    <dxf>
      <alignment horizontal="center"/>
    </dxf>
    <dxf>
      <alignment vertical="center"/>
    </dxf>
    <dxf>
      <font>
        <name val="Aptos Display"/>
      </font>
    </dxf>
    <dxf>
      <font>
        <name val="Aptos Display"/>
      </font>
    </dxf>
    <dxf>
      <font>
        <name val="Aptos Display"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9" formatCode="&quot;R$&quot;\ #,##0;\-&quot;R$&quot;\ 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/>
      </font>
    </dxf>
    <dxf>
      <font>
        <name val="Aptos Display"/>
      </font>
    </dxf>
    <dxf>
      <font>
        <sz val="20"/>
      </font>
    </dxf>
    <dxf>
      <alignment horizontal="center"/>
    </dxf>
    <dxf>
      <alignment vertical="center"/>
    </dxf>
    <dxf>
      <font>
        <name val="Aptos Display"/>
      </font>
    </dxf>
    <dxf>
      <font>
        <name val="Aptos Display"/>
      </font>
    </dxf>
    <dxf>
      <font>
        <name val="Aptos Display"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9" formatCode="&quot;R$&quot;\ #,##0;\-&quot;R$&quot;\ 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/>
      </font>
    </dxf>
    <dxf>
      <font>
        <name val="Aptos Display"/>
      </font>
    </dxf>
    <dxf>
      <font>
        <sz val="20"/>
      </font>
    </dxf>
    <dxf>
      <alignment horizontal="center"/>
    </dxf>
    <dxf>
      <alignment vertical="center"/>
    </dxf>
    <dxf>
      <font>
        <name val="Aptos Display"/>
      </font>
    </dxf>
    <dxf>
      <font>
        <name val="Aptos Display"/>
      </font>
    </dxf>
    <dxf>
      <font>
        <name val="Aptos Display"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9" formatCode="&quot;R$&quot;\ #,##0;\-&quot;R$&quot;\ 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/>
      </font>
    </dxf>
    <dxf>
      <font>
        <name val="Aptos Display"/>
      </font>
    </dxf>
    <dxf>
      <font>
        <sz val="20"/>
      </font>
    </dxf>
    <dxf>
      <alignment horizontal="center"/>
    </dxf>
    <dxf>
      <alignment vertical="center"/>
    </dxf>
    <dxf>
      <font>
        <name val="Aptos Display"/>
      </font>
    </dxf>
    <dxf>
      <font>
        <name val="Aptos Display"/>
      </font>
    </dxf>
    <dxf>
      <font>
        <name val="Aptos Display"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9" formatCode="&quot;R$&quot;\ #,##0;\-&quot;R$&quot;\ 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/>
      </font>
    </dxf>
    <dxf>
      <font>
        <name val="Aptos Display"/>
      </font>
    </dxf>
    <dxf>
      <font>
        <sz val="20"/>
      </font>
    </dxf>
    <dxf>
      <alignment horizontal="center"/>
    </dxf>
    <dxf>
      <alignment vertical="center"/>
    </dxf>
    <dxf>
      <font>
        <name val="Aptos Display"/>
      </font>
    </dxf>
    <dxf>
      <font>
        <name val="Aptos Display"/>
      </font>
    </dxf>
    <dxf>
      <font>
        <name val="Aptos Display"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Display"/>
        <family val="2"/>
        <scheme val="none"/>
      </font>
      <numFmt numFmtId="165" formatCode="_-[$R$-416]\ * #,##0.00_-;\-[$R$-416]\ * #,##0.00_-;_-[$R$-416]\ * &quot;-&quot;??_-;_-@_-"/>
      <fill>
        <patternFill patternType="solid">
          <fgColor theme="0" tint="-0.34998626667073579"/>
          <bgColor theme="0" tint="-0.34998626667073579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" formatCode="0"/>
      <fill>
        <patternFill patternType="solid">
          <fgColor theme="0" tint="-0.34998626667073579"/>
          <bgColor theme="0" tint="-0.3499862666707357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4" formatCode="#,##0.00"/>
      <fill>
        <patternFill patternType="solid">
          <fgColor theme="0" tint="-0.34998626667073579"/>
          <bgColor theme="0" tint="-0.34998626667073579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name val="Aptos Display"/>
      </font>
    </dxf>
    <dxf>
      <font>
        <name val="Aptos Display"/>
      </font>
    </dxf>
    <dxf>
      <font>
        <name val="Aptos Display"/>
      </font>
    </dxf>
    <dxf>
      <alignment vertical="center"/>
    </dxf>
    <dxf>
      <alignment horizontal="center"/>
    </dxf>
    <dxf>
      <font>
        <sz val="20"/>
      </font>
    </dxf>
    <dxf>
      <font>
        <name val="Aptos Display"/>
      </font>
    </dxf>
    <dxf>
      <font>
        <b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numFmt numFmtId="11" formatCode="&quot;R$&quot;\ #,##0.00;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9" formatCode="&quot;R$&quot;\ #,##0;\-&quot;R$&quot;\ #,##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0"/>
        <name val="Arial"/>
        <charset val="1"/>
        <scheme val="none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0"/>
        <name val="Arial"/>
        <charset val="1"/>
        <scheme val="none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0"/>
        <name val="Arial"/>
        <charset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0"/>
        <name val="Arial"/>
        <charset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9" formatCode="dd/mm/yyyy"/>
      <fill>
        <patternFill patternType="solid">
          <fgColor indexed="64"/>
          <bgColor theme="1" tint="0.14999847407452621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000000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FF0000"/>
      <rgbColor rgb="0000FF00"/>
      <rgbColor rgb="00FFFF00"/>
      <rgbColor rgb="000000FF"/>
      <rgbColor rgb="00FF00FF"/>
      <rgbColor rgb="0000FFFF"/>
      <rgbColor rgb="00C0C0C0"/>
      <rgbColor rgb="00808080"/>
      <rgbColor rgb="00FFFFFF"/>
      <rgbColor rgb="00C0DCC0"/>
      <rgbColor rgb="00A6CAF0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4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142874</xdr:colOff>
      <xdr:row>4</xdr:row>
      <xdr:rowOff>142875</xdr:rowOff>
    </xdr:from>
    <xdr:to>
      <xdr:col>26</xdr:col>
      <xdr:colOff>85725</xdr:colOff>
      <xdr:row>27</xdr:row>
      <xdr:rowOff>95251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LIENTE">
              <a:extLst>
                <a:ext uri="{FF2B5EF4-FFF2-40B4-BE49-F238E27FC236}">
                  <a16:creationId xmlns:a16="http://schemas.microsoft.com/office/drawing/2014/main" id="{F5D8B900-B64E-9019-53D5-517C2D93E3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1424" y="914400"/>
              <a:ext cx="9544051" cy="4333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142875</xdr:colOff>
      <xdr:row>0</xdr:row>
      <xdr:rowOff>38099</xdr:rowOff>
    </xdr:from>
    <xdr:to>
      <xdr:col>26</xdr:col>
      <xdr:colOff>85725</xdr:colOff>
      <xdr:row>4</xdr:row>
      <xdr:rowOff>114300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VENCIMENTO">
              <a:extLst>
                <a:ext uri="{FF2B5EF4-FFF2-40B4-BE49-F238E27FC236}">
                  <a16:creationId xmlns:a16="http://schemas.microsoft.com/office/drawing/2014/main" id="{06E2E42D-8265-F8FA-54C6-24517BE614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CI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1425" y="38099"/>
              <a:ext cx="9544050" cy="847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6802</xdr:colOff>
      <xdr:row>0</xdr:row>
      <xdr:rowOff>0</xdr:rowOff>
    </xdr:from>
    <xdr:to>
      <xdr:col>3</xdr:col>
      <xdr:colOff>13606</xdr:colOff>
      <xdr:row>6</xdr:row>
      <xdr:rowOff>163286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dealer/Cliente 1">
              <a:extLst>
                <a:ext uri="{FF2B5EF4-FFF2-40B4-BE49-F238E27FC236}">
                  <a16:creationId xmlns:a16="http://schemas.microsoft.com/office/drawing/2014/main" id="{70861E1C-99A1-00D7-7EC7-E6CD3BCAD3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dealer/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2" y="0"/>
              <a:ext cx="13069661" cy="16328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38100</xdr:rowOff>
    </xdr:from>
    <xdr:to>
      <xdr:col>8</xdr:col>
      <xdr:colOff>123825</xdr:colOff>
      <xdr:row>41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ENCIMENTO 1">
              <a:extLst>
                <a:ext uri="{FF2B5EF4-FFF2-40B4-BE49-F238E27FC236}">
                  <a16:creationId xmlns:a16="http://schemas.microsoft.com/office/drawing/2014/main" id="{8E146600-2B98-55D8-B099-9F5EFBCF91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CIMEN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67750" y="38100"/>
              <a:ext cx="1828800" cy="7524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47624</xdr:colOff>
      <xdr:row>0</xdr:row>
      <xdr:rowOff>76199</xdr:rowOff>
    </xdr:from>
    <xdr:to>
      <xdr:col>6</xdr:col>
      <xdr:colOff>0</xdr:colOff>
      <xdr:row>41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 1">
              <a:extLst>
                <a:ext uri="{FF2B5EF4-FFF2-40B4-BE49-F238E27FC236}">
                  <a16:creationId xmlns:a16="http://schemas.microsoft.com/office/drawing/2014/main" id="{E5AD3A2E-A917-ACEA-C4F3-FFDA93A4AD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38724" y="76199"/>
              <a:ext cx="3476626" cy="7515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28574</xdr:colOff>
      <xdr:row>0</xdr:row>
      <xdr:rowOff>0</xdr:rowOff>
    </xdr:from>
    <xdr:to>
      <xdr:col>8</xdr:col>
      <xdr:colOff>485774</xdr:colOff>
      <xdr:row>37</xdr:row>
      <xdr:rowOff>180974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Subdealer/Cliente">
              <a:extLst>
                <a:ext uri="{FF2B5EF4-FFF2-40B4-BE49-F238E27FC236}">
                  <a16:creationId xmlns:a16="http://schemas.microsoft.com/office/drawing/2014/main" id="{BD3B48B0-F807-D496-C272-516986718B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dealer/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53599" y="0"/>
              <a:ext cx="3552825" cy="7867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495299</xdr:colOff>
      <xdr:row>0</xdr:row>
      <xdr:rowOff>0</xdr:rowOff>
    </xdr:from>
    <xdr:to>
      <xdr:col>13</xdr:col>
      <xdr:colOff>38099</xdr:colOff>
      <xdr:row>37</xdr:row>
      <xdr:rowOff>190499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Limite de Crédito (R$)">
              <a:extLst>
                <a:ext uri="{FF2B5EF4-FFF2-40B4-BE49-F238E27FC236}">
                  <a16:creationId xmlns:a16="http://schemas.microsoft.com/office/drawing/2014/main" id="{F5A3C9FD-3659-992F-44CC-CE4F3CC96F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mite de Crédito (R$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5949" y="0"/>
              <a:ext cx="2638425" cy="7877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Vitor\backup\vendedores_clientes.xlsx" TargetMode="External"/><Relationship Id="rId1" Type="http://schemas.openxmlformats.org/officeDocument/2006/relationships/externalLinkPath" Target="file:///Y:\Vitor\backup\vendedores_c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"/>
      <sheetName val="A Contratar"/>
      <sheetName val="Luiz_Carlos"/>
      <sheetName val="Alisson_Rocha "/>
      <sheetName val="Thiago_Gomes"/>
      <sheetName val="Dustin_Maeno"/>
      <sheetName val="Kallebe_Gomes_Guilherme"/>
      <sheetName val="Dustin_Maeno TO"/>
      <sheetName val="LOJAS ALLAN"/>
      <sheetName val="Planilha1"/>
      <sheetName val="vendedores_clie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" refreshedDate="46071.357429282405" createdVersion="8" refreshedVersion="8" minRefreshableVersion="3" recordCount="287" xr:uid="{9FF9A825-491E-4E13-8E9D-06CAAF21ED18}">
  <cacheSource type="worksheet">
    <worksheetSource name="Tabela1"/>
  </cacheSource>
  <cacheFields count="6">
    <cacheField name="VENCIMENTO" numFmtId="14">
      <sharedItems containsSemiMixedTypes="0" containsNonDate="0" containsDate="1" containsString="0" minDate="2026-01-29T00:00:00" maxDate="2026-06-16T00:00:00" count="72">
        <d v="2026-02-13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4T00:00:00"/>
        <d v="2026-03-06T00:00:00"/>
        <d v="2026-03-09T00:00:00"/>
        <d v="2026-03-13T00:00:00"/>
        <d v="2026-03-16T00:00:00"/>
        <d v="2026-03-17T00:00:00"/>
        <d v="2026-03-18T00:00:00"/>
        <d v="2026-03-23T00:00:00"/>
        <d v="2026-03-24T00:00:00"/>
        <d v="2026-03-30T00:00:00"/>
        <d v="2026-04-06T00:00:00"/>
        <d v="2026-04-07T00:00:00"/>
        <d v="2026-04-13T00:00:00"/>
        <d v="2026-04-14T00:00:00"/>
        <d v="2026-04-17T00:00:00"/>
        <d v="2026-04-21T00:00:00"/>
        <d v="2026-04-22T00:00:00"/>
        <d v="2026-04-23T00:00:00"/>
        <d v="2026-04-27T00:00:00"/>
        <d v="2026-04-29T00:00:00"/>
        <d v="2026-05-05T00:00:00"/>
        <d v="2026-05-07T00:00:00"/>
        <d v="2026-05-12T00:00:00"/>
        <d v="2026-05-13T00:00:00"/>
        <d v="2026-05-14T00:00:00"/>
        <d v="2026-05-21T00:00:00"/>
        <d v="2026-05-22T00:00:00"/>
        <d v="2026-05-25T00:00:00"/>
        <d v="2026-05-27T00:00:00"/>
        <d v="2026-05-29T00:00:00"/>
        <d v="2026-06-04T00:00:00"/>
        <d v="2026-06-08T00:00:00"/>
        <d v="2026-06-12T00:00:00"/>
        <d v="2026-06-15T00:00:00"/>
        <d v="2026-03-10T00:00:00"/>
        <d v="2026-03-05T00:00:00"/>
        <d v="2026-03-19T00:00:00"/>
        <d v="2026-05-04T00:00:00"/>
        <d v="2026-03-31T00:00:00"/>
        <d v="2026-04-30T00:00:00"/>
        <d v="2026-05-06T00:00:00"/>
        <d v="2026-04-03T00:00:00"/>
        <d v="2026-04-08T00:00:00"/>
        <d v="2026-04-28T00:00:00"/>
        <d v="2026-03-12T00:00:00"/>
        <d v="2026-04-16T00:00:00"/>
        <d v="2026-02-16T00:00:00" u="1"/>
        <d v="2026-02-17T00:00:00" u="1"/>
        <d v="2026-02-18T00:00:00" u="1"/>
        <d v="2026-03-03T00:00:00" u="1"/>
        <d v="2026-03-26T00:00:00" u="1"/>
        <d v="2026-04-02T00:00:00" u="1"/>
        <d v="2026-04-09T00:00:00" u="1"/>
        <d v="2026-02-06T00:00:00" u="1"/>
        <d v="2026-02-09T00:00:00" u="1"/>
        <d v="2026-02-10T00:00:00" u="1"/>
        <d v="2026-02-11T00:00:00" u="1"/>
        <d v="2026-02-12T00:00:00" u="1"/>
        <d v="2026-01-30T00:00:00" u="1"/>
        <d v="2026-02-02T00:00:00" u="1"/>
        <d v="2026-02-05T00:00:00" u="1"/>
        <d v="2026-02-03T00:00:00" u="1"/>
        <d v="2026-01-29T00:00:00" u="1"/>
        <d v="2026-02-04T00:00:00" u="1"/>
      </sharedItems>
      <fieldGroup par="5"/>
    </cacheField>
    <cacheField name="NF" numFmtId="0">
      <sharedItems count="381">
        <s v="NT:59121 2/2"/>
        <s v="NT:59204 2/5"/>
        <s v="NT:59205 2/4"/>
        <s v="NT:59528 1/1"/>
        <s v="NT:59209 2/5"/>
        <s v="NT:59210 2/3"/>
        <s v="NT:59212 1/1"/>
        <s v="NT:59213 1/2"/>
        <s v="NT:59216 2/5"/>
        <s v="NT:59217 2/5"/>
        <s v="NT:59218 2/5"/>
        <s v="NT:59219 2/5"/>
        <s v="NT:59527 1/2"/>
        <s v="NT:59533 1/1"/>
        <s v="NT:59239 1/1"/>
        <s v="NT:59227 2/5"/>
        <s v="NT:59228 2/5"/>
        <s v="NT:59230 2/5"/>
        <s v="NT:59231 2/3"/>
        <s v="NT:59530 1/2"/>
        <s v="NT:59631 1/1"/>
        <s v="NT:59242 1/4"/>
        <s v="NT:59247 2/5"/>
        <s v="NT:59565 1/1"/>
        <s v="NT:59258 2/5"/>
        <s v="NT:59259 2/5"/>
        <s v="NT:59261 2/4"/>
        <s v="NT:59166 2/3"/>
        <s v="NT:59173 2/2"/>
        <s v="NT:59270 1/4"/>
        <s v="NT:59271 1/4"/>
        <s v="NT:59494 2/2"/>
        <s v="NT:59231 3/3"/>
        <s v="NT:59281 1/1"/>
        <s v="NT:59282 1/3"/>
        <s v="NT:59627 1/3"/>
        <s v="NT:59283 1/2"/>
        <s v="NT:59291 1/4"/>
        <s v="NT:59292 1/4"/>
        <s v="NT:59295 1/4"/>
        <s v="NT:59298 1/4"/>
        <s v="NT:59299 1/4"/>
        <s v="NT:59626 1/2"/>
        <s v="NT:59199 2/2"/>
        <s v="NT:59139 4/5"/>
        <s v="NT:59204 3/5"/>
        <s v="NT:59205 3/4"/>
        <s v="NT:59209 3/5"/>
        <s v="NT:59210 3/3"/>
        <s v="NT:59213 2/2"/>
        <s v="NT:59216 3/5"/>
        <s v="NT:59217 3/5"/>
        <s v="NT:59218 3/5"/>
        <s v="NT:59219 3/5"/>
        <s v="NT:59527 2/2"/>
        <s v="NT:59227 3/5"/>
        <s v="NT:59228 3/5"/>
        <s v="NT:59230 3/5"/>
        <s v="NT:59242 2/4"/>
        <s v="NT:59247 3/5"/>
        <s v="NT:59530 2/2"/>
        <s v="NT:59258 3/5"/>
        <s v="NT:59259 3/5"/>
        <s v="NT:59261 3/4"/>
        <s v="NT:59166 3/3"/>
        <s v="NT:59270 2/4"/>
        <s v="NT:59271 2/4"/>
        <s v="NT:59282 2/3"/>
        <s v="NT:59283 2/2"/>
        <s v="NT:59291 2/4"/>
        <s v="NT:59292 2/4"/>
        <s v="NT:59626 2/2"/>
        <s v="NT:59627 2/3"/>
        <s v="NT:59295 2/4"/>
        <s v="NT:59298 2/4"/>
        <s v="NT:59299 2/4"/>
        <s v="NT:59139 5/5"/>
        <s v="NT:59204 4/5"/>
        <s v="NT:59205 4/4"/>
        <s v="NT:59209 4/5"/>
        <s v="NT:59216 4/5"/>
        <s v="NT:59217 4/5"/>
        <s v="NT:59218 4/5"/>
        <s v="NT:59219 4/5"/>
        <s v="NT:59227 4/5"/>
        <s v="NT:59228 4/5"/>
        <s v="NT:59230 4/5"/>
        <s v="NT:59242 3/4"/>
        <s v="NT:59247 4/5"/>
        <s v="NT:59258 4/5"/>
        <s v="NT:59259 4/5"/>
        <s v="NT:59261 4/4"/>
        <s v="NT:59270 3/4"/>
        <s v="NT:59271 3/4"/>
        <s v="NT:59282 3/3"/>
        <s v="NT:59627 3/3"/>
        <s v="NT:59291 3/4"/>
        <s v="NT:59292 3/4"/>
        <s v="NT:59295 3/4"/>
        <s v="NT:59298 3/4"/>
        <s v="NT:59299 3/4"/>
        <s v="NT:59204 5/5"/>
        <s v="NT:59209 5/5"/>
        <s v="NT:59216 5/5"/>
        <s v="NT:59217 5/5"/>
        <s v="NT:59218 5/5"/>
        <s v="NT:59219 5/5"/>
        <s v="NT:59227 5/5"/>
        <s v="NT:59228 5/5"/>
        <s v="NT:59230 5/5"/>
        <s v="NT:59242 4/4"/>
        <s v="NT:59247 5/5"/>
        <s v="NT:59258 5/5"/>
        <s v="NT:59259 5/5"/>
        <s v="NT:59270 4/4"/>
        <s v="NT:59271 4/4"/>
        <s v="NT:59291 4/4"/>
        <s v="NT:59292 4/4"/>
        <s v="NT:59295 4/4"/>
        <s v="NT:59298 4/4"/>
        <s v="NT:59299 4/4"/>
        <s v="NT:59220 1/3"/>
        <s v="NT:59517 1/2"/>
        <s v="NT:59532 1/2"/>
        <s v="NT:59243 1/4"/>
        <s v="NT:59244 1/4"/>
        <s v="NT:59167 2/3"/>
        <s v="NT:59168 2/3"/>
        <s v="NT:59169 2/2"/>
        <s v="NT:59102 3/3"/>
        <s v="NT:59182 2/3"/>
        <s v="NT:59183 2/3"/>
        <s v="NT:59285 1/3"/>
        <s v="NT:59286 1/1"/>
        <s v="NT:59287 1/4"/>
        <s v="NT:59293 1/4"/>
        <s v="NT:59517 2/2"/>
        <s v="NT:59220 2/3"/>
        <s v="NT:59243 2/4"/>
        <s v="NT:59244 2/4"/>
        <s v="NT:59532 2/2"/>
        <s v="NT:59167 3/3"/>
        <s v="NT:59168 3/3"/>
        <s v="NT:59182 3/3"/>
        <s v="NT:59183 3/3"/>
        <s v="NT:59285 2/3"/>
        <s v="NT:59287 2/4"/>
        <s v="NT:59293 2/4"/>
        <s v="NT:59220 3/3"/>
        <s v="NT:59243 3/4"/>
        <s v="NT:59244 3/4"/>
        <s v="NT:59285 3/3"/>
        <s v="NT:59287 3/4"/>
        <s v="NT:59293 3/4"/>
        <s v="NT:59243 4/4"/>
        <s v="NT:59244 4/4"/>
        <s v="NT:59287 4/4"/>
        <s v="NT:59293 4/4"/>
        <s v="NT:59240 2/4"/>
        <s v="NT:59248 2/2"/>
        <s v="NT:59538 2/4"/>
        <s v="NT:59253 1/3"/>
        <s v="NT:59262 2/2"/>
        <s v="NT:59578 1/1"/>
        <s v="NT:59284 1/3"/>
        <s v="NT:59290 2/3"/>
        <s v="NT:59449 3/3"/>
        <s v="NT:59148 3/3"/>
        <s v="NT:59149 3/3"/>
        <s v="NT:59240 3/4"/>
        <s v="NT:59538 3/4"/>
        <s v="NT:59253 2/3"/>
        <s v="NT:59284 2/3"/>
        <s v="NT:59290 3/3"/>
        <s v="NT:59240 4/4"/>
        <s v="NT:59538 4/4"/>
        <s v="NT:59253 3/3"/>
        <s v="NT:59284 3/3"/>
        <s v="NT:59225 2/2"/>
        <s v="NT:59529 2/2"/>
        <s v="NT:59245 2/4"/>
        <s v="NT:59249 2/4"/>
        <s v="NT:59541 2/4"/>
        <s v="NT:59252 1/3"/>
        <s v="NT:59372 4/4"/>
        <s v="NT:59265 1/3"/>
        <s v="NT:59573 1/3"/>
        <s v="NT:59279 1/3"/>
        <s v="NT:59123 4/4"/>
        <s v="NT:59440 4/4"/>
        <s v="NT:59245 3/4"/>
        <s v="NT:59541 3/4"/>
        <s v="NT:59249 3/4"/>
        <s v="NT:59252 2/3"/>
        <s v="NT:59265 2/3"/>
        <s v="NT:59573 2/3"/>
        <s v="NT:59279 2/3"/>
        <s v="NT:59245 4/4"/>
        <s v="NT:59541 4/4"/>
        <s v="NT:59249 4/4"/>
        <s v="NT:59252 3/3"/>
        <s v="NT:59265 3/3"/>
        <s v="NT:59573 3/3"/>
        <s v="NT:59279 3/3"/>
        <s v="NT:59523 2/2"/>
        <s v="NT:59537 1/3"/>
        <s v="NT:59556 1/3"/>
        <s v="NT:59497 2/3"/>
        <s v="NT:59623 1/3"/>
        <s v="NT:59537 2/3"/>
        <s v="NT:59556 2/3"/>
        <s v="NT:59497 3/3"/>
        <s v="NT:59623 2/3"/>
        <s v="NT:59537 3/3"/>
        <s v="NT:59556 3/3"/>
        <s v="NT:59623 3/3"/>
        <s v="NT:59221 2/3"/>
        <s v="NT:59260 1/1"/>
        <s v="NT:59276 1/1"/>
        <s v="NT:59198 2/2"/>
        <s v="NT:59221 3/3"/>
        <s v="NT:59272 2/4"/>
        <s v="NT:5 1/1"/>
        <s v="NT:59272 3/4"/>
        <s v="NT:59272 4/4"/>
        <s v="NT 59196 3/3"/>
        <s v="NT 59197 3/3"/>
        <s v="PEDIDO 718 NT 350569"/>
        <s v="NT 59187 1/2" u="1"/>
        <s v="PEDIDO 719 NT 349569" u="1"/>
        <s v="NT 59185 1/2" u="1"/>
        <s v="NT 59188 1/2" u="1"/>
        <s v="PEDIDO 711 NT 349426" u="1"/>
        <s v="NT 59176 4/4 1/1" u="1"/>
        <s v="58906 4-4 1/1" u="1"/>
        <s v="NT 59177 4-4 1/1" u="1"/>
        <s v="NT 58905 4-4 1/1" u="1"/>
        <s v="NT 59130 2/2" u="1"/>
        <s v="NT 59119 2/2" u="1"/>
        <s v="NT 59193 1/2" u="1"/>
        <s v="PEDIDO 694 NT 339537" u="1"/>
        <s v="NT 59141 2/2" u="1"/>
        <s v="PEDIDO 721 NT 349402" u="1"/>
        <s v="PEDIDO 709 NT 349379" u="1"/>
        <s v="PEDIDO 695 NT 339329" u="1"/>
        <s v="PEDIDO 658 NT 317519" u="1"/>
        <s v="PEDIDO 699 NT 339415" u="1"/>
        <s v="NT 59125 2/3" u="1"/>
        <s v="NT 59137 2/2" u="1"/>
        <s v="NT:59199 1/2" u="1"/>
        <s v="NT 59190 1/2" u="1"/>
        <s v="NT:59198 1/2" u="1"/>
        <s v="NT 59093 2/2" u="1"/>
        <s v="PEDIDO 697 NT 339782" u="1"/>
        <s v="NT 59138 2/2" u="1"/>
        <s v="NT 59196 1/3" u="1"/>
        <s v="NT 59197 1/3" u="1"/>
        <s v="PEDIDO 692 NT 336168" u="1"/>
        <s v="NT 59136 2/2" u="1"/>
        <s v="NT 59189 1/2" u="1"/>
        <s v="NT:59123 3/4" u="1"/>
        <s v="NT:59440 3/4" u="1"/>
        <s v="NT:59449 2/3" u="1"/>
        <s v="NT:59139 3/5" u="1"/>
        <s v="NT 59179 4/4 1/1" u="1"/>
        <s v="NT:59145 2/2" u="1"/>
        <s v="NT 59154 2/3" u="1"/>
        <s v="PEDIDO 701 NT 339973" u="1"/>
        <s v="NT:59148 2/3" u="1"/>
        <s v="NT:59149 2/3" u="1"/>
        <s v="PEDIDO 725 NT 350911" u="1"/>
        <s v="PEDIDO 731 NT 353002" u="1"/>
        <s v="NT 59035 2-3 &amp; 3-3 2" u="1"/>
        <s v="NT 59036 2-3 &amp; 3-3 2" u="1"/>
        <s v="NT 59157 2/2" u="1"/>
        <s v="NT 59049  2/3" u="1"/>
        <s v="NT 59057 2/2" u="1"/>
        <s v="NT 59062 2/2" u="1"/>
        <s v="PEDIDO 728 NT 355431" u="1"/>
        <s v="NT 59251  2/2" u="1"/>
        <s v="NT 58931 3-4 &amp; 4-4  " u="1"/>
        <s v="NT 59070 3-5 4-5 5-5" u="1"/>
        <s v="59258  2/2" u="1"/>
        <s v="NT 58934 3-4 &amp; 4-4 2" u="1"/>
        <s v="NT 58939 3-4 &amp; 4-4  " u="1"/>
        <s v="59281 3/4 &amp; 4/4 2/2" u="1"/>
        <s v="NT 59084 4/4" u="1"/>
        <s v="NT 59163 2/2" u="1"/>
        <s v="NT 59161 2/2" u="1"/>
        <s v="NT 59172 2/3" u="1"/>
        <s v="NT 59170 2/3" u="1"/>
        <s v="PEDIDO 704 NT 346745" u="1"/>
        <s v="PEDIDO 703 NT 346760" u="1"/>
        <s v="NT 59178 2/2" u="1"/>
        <s v="NT 59177 2/2" u="1"/>
        <s v="PEDIDO 708 NT 348327" u="1"/>
        <s v="NT 59304 4/5 &amp; 5/5 2" u="1"/>
        <s v="NT 58985 4-5  5-5 2/" u="1"/>
        <s v="NT 58989 4-5 5-5 2/2" u="1"/>
        <s v="58988 NT 4-4 5-5-5  " u="1"/>
        <s v="NT 58984 4-5 &amp; 5-5  " u="1"/>
        <s v="NT 59187 2/2" u="1"/>
        <s v="NT 59125 3/3" u="1"/>
        <s v="NT 59185 2/2" u="1"/>
        <s v="NT 59190 2/2" u="1"/>
        <s v="NT 59188 2/2" u="1"/>
        <s v="NT 59189 2/2" u="1"/>
        <s v="NT 59193 2/2" u="1"/>
        <s v="NT 59196 2/3" u="1"/>
        <s v="NT 59197 2/3" u="1"/>
        <s v="NT 59154 3/3" u="1"/>
        <s v="NT 59049  3/3" u="1"/>
        <s v="NT 59172 3/3" u="1"/>
        <s v="NT 59170 3/3" u="1"/>
        <s v="NT:59166 1/3" u="1"/>
        <s v="NT:59167 1/3" u="1"/>
        <s v="NT:59168 1/3" u="1"/>
        <s v="NT 59092 2/2" u="1"/>
        <s v="NT 59091 2/2" u="1"/>
        <s v="NT 59161 1/2" u="1"/>
        <s v="PEDIDO 687 NT 333982" u="1"/>
        <s v="59145 4/4 1/1" u="1"/>
        <s v="NT:59497 1/3" u="1"/>
        <s v="NT 59097 2/2" u="1"/>
        <s v="NT 59172 1/3" u="1"/>
        <s v="NT:59173 1/2" u="1"/>
        <s v="NT:59494 1/2" u="1"/>
        <s v="NT:59496 1/1" u="1"/>
        <s v="NT 59178 1/2" u="1"/>
        <s v="NT:59102 2/3" u="1"/>
        <s v="NT:59105 2/2" u="1"/>
        <s v="NT 59107 2/2" u="1"/>
        <s v="NT 59098 2/2" u="1"/>
        <s v="NT 59177 1/2" u="1"/>
        <s v="NT 59170 1/3" u="1"/>
        <s v="NT:59247 1/5" u="1"/>
        <s v="NT:59169 1/2" u="1"/>
        <s v="NT 59114 2/2" u="1"/>
        <s v="NT 59150 4/4 1/1" u="1"/>
        <s v="59300  3/3 1/1" u="1"/>
        <s v="NT 59149 4/4 1/1" u="1"/>
        <s v="NT 59304 4/5 &amp; 5/5 1" u="1"/>
        <s v="NT 58985 4-5  5-5 1/" u="1"/>
        <s v="NT 58989 4-5 5-5 1/2" u="1"/>
        <s v="NT:59182 1/3" u="1"/>
        <s v="NT:59183 1/3" u="1"/>
        <s v="NT:59506 1/1" u="1"/>
        <s v="NT:59249 1/4" u="1"/>
        <s v="NT:59445 2/2" u="1"/>
        <s v="NT:59204 1/5" u="1"/>
        <s v="NT:59209 1/5" u="1"/>
        <s v="NT:59171 1/1" u="1"/>
        <s v="NT:59372 3/4" u="1"/>
        <s v="NT 59251  1/2" u="1"/>
        <s v="PEDIDO 722 NT 349568" u="1"/>
        <s v="NT:59495 1/1" u="1"/>
        <s v="NT 59259 3/3 1/1" u="1"/>
        <s v="NT 58936 3-3 1/1" u="1"/>
        <s v="NT 59067 2-2 1/1" u="1"/>
        <s v="NT 59074 2-2 1/1" u="1"/>
        <s v="59258  1/2" u="1"/>
        <s v="NT 58934 3-4 &amp; 4-4 1" u="1"/>
        <s v="PEDIDO 631 NT 306784" u="1"/>
        <s v="PEDIDO 676 NT 329398" u="1"/>
        <s v="PEDIDO 672 NT 324155" u="1"/>
        <s v="PEDIDO 684 NT 331382" u="1"/>
        <s v="NT 59367 2/2" u="1"/>
        <s v="59257 3/3 1/1" u="1"/>
        <s v="PEDIDO 346 NT 332126" u="1"/>
        <s v="NT 59278 1/1" u="1"/>
        <s v="NT 59398 2/2" u="1"/>
        <s v="NT 59088 2/2" u="1"/>
        <s v="NT 59040  1/1" u="1"/>
        <s v="59281 3/4 &amp; 4/4 1/2" u="1"/>
        <s v="NT 59084 3/4" u="1"/>
        <s v="NT 59162 1/1" u="1"/>
        <s v="NT 59290  3/3 1/1" u="1"/>
        <s v="NT 59163 1/2" u="1"/>
        <s v="NT 59117 2/2" u="1"/>
        <s v="NT 59224 4/4 1/1" u="1"/>
        <s v="NT 58925 4-4  1/1" u="1"/>
      </sharedItems>
    </cacheField>
    <cacheField name="CLIENTE" numFmtId="0">
      <sharedItems count="54">
        <s v="AGROSUL MAQUINAS &amp; EQUIPAMENTOS AGRICOLAS LTDA"/>
        <s v="VRJ COMERCIO DE DRONES LTDA"/>
        <s v="RURAL DRONE AGRICULTURA LTDA"/>
        <s v="LCA DRONES LTDA"/>
        <s v="POTENCIA DRONES AGRICOLAS LTDA"/>
        <s v="SOUSA &amp; LUSTOSA LTDA"/>
        <s v="AGRO SANTANA DISTRIBUIDORA LTDA"/>
        <s v="AGRO SANTANA DISTRIBUIDORA XINGU LTDA"/>
        <s v="WR DRONES COMERCIO E SERVICO LTDA"/>
        <s v="NORTE DRONE AGROTECH LTDA"/>
        <s v="AGROMINAS PRODUTOS AGROPECUARIOS LTDA"/>
        <s v="ALFA DRONE COMERCIO &amp; SERVICOS LTDA-EPP"/>
        <s v="PULVERIZA DRONES LTDA"/>
        <s v="TM DRONES E MAQUINAS LTDA"/>
        <s v="ALTO GIRO DRONES LTDA - EPP"/>
        <s v="TERRA BOA DRONES LTDA"/>
        <s v="PULVERIZA  DRONES LTDA"/>
        <s v="MAR AUTO PECAS LTDA EPP"/>
        <s v="VR SOLAR E COMPRESSORES LTDA"/>
        <s v="ELETRO ENERGIA SOLAR LTDA"/>
        <s v="LEITE &amp; SILVA ELETROELETRONICOS LTDA"/>
        <s v="R L M DE MIRANDA LTDA"/>
        <s v="M &amp; E PRODUTOS AGROPECUARIOS LTDA"/>
        <s v="AGRODRONE SOLU??ES AGRíCOLAS LTDA"/>
        <s v="SANDRA BEVILAQUA 70188262920"/>
        <s v="AMANDA THAISSA COSTA CUNHA SILVA" u="1"/>
        <s v="INOVA DRONE TECNOLOGIA AGRÍCOLA LTDA" u="1"/>
        <s v="SP GARDEN CENTER LTDA" u="1"/>
        <s v="AGROPARCERIA PRODUTOS AGRICOLAS LTDA." u="1"/>
        <s v="DAJU COMERCIO ATACADISTA DE PRODUTOS PARA GARDEN LTDA" u="1"/>
        <s v="DRONE NORTE TECNOLOGIA NO CAMPO LTDA" u="1"/>
        <s v="GB DRONES COMERCIO E SERVICOS LTDA-EPP" u="1"/>
        <s v="OUTLET EXPRESS LTDA" u="1"/>
        <s v="R A PEREIRA DOS SANTOS COSMETICOS" u="1"/>
        <s v="D R MIRANORTE LTDA EPP" u="1"/>
        <s v="AGALUS COMERCIO DE PRODUTOS LTDA" u="1"/>
        <s v="RURAL DRONE VENDAS E SERVICOS DE MANUTENCAO LTDA" u="1"/>
        <s v="CASA QUE TEM ARTIGOS PARA DECORACAO LTDA" u="1"/>
        <s v="DRONE PARA SOARES LTDA" u="1"/>
        <s v="AGRODRONE SOLUÇÕES AGRÍCOLAS LTDA" u="1"/>
        <s v="GF LOJAS COMERCIO DE FLORES E PRESENTES LTDA" u="1"/>
        <s v="GIULIANA COMERCIO DE FLORES E ARRANJOS LTDA" u="1"/>
        <s v="A ROSA COR DECORACOES E PRESENTES LTDA" u="1"/>
        <s v="HSD DRONES LTDA" u="1"/>
        <s v="J J VANZIN COMERCIAL LTDA" u="1"/>
        <s v="PAMPLONA INSTALACOES SOLAR LTDA" u="1"/>
        <s v="WIDNEY NASCIMENTO SANTOS" u="1"/>
        <s v="ELYSEU PEDROSA COMERCIO DE PLANTAS LTDA" u="1"/>
        <s v="GIOVANELLI EMBALAGENS LTDA" u="1"/>
        <s v="ITIRO KAWAGUCHI" u="1"/>
        <s v="A. MACIEL IRRIGACAO DE JARDIM LTDA" u="1"/>
        <s v="AGUIA DRONE TECNOLOGIA TAILANDIA LTDA" u="1"/>
        <s v="ALTO GIRO DRONES LTDA" u="1"/>
        <s v="AEROCAMPO TECNOLOGIA E SOLUÇÕES AGRÍCOLAS LTDA" u="1"/>
      </sharedItems>
    </cacheField>
    <cacheField name="VALOR PARCELAR" numFmtId="4">
      <sharedItems containsSemiMixedTypes="0" containsString="0" containsNumber="1" minValue="760" maxValue="352019"/>
    </cacheField>
    <cacheField name="SALDO" numFmtId="4">
      <sharedItems containsSemiMixedTypes="0" containsString="0" containsNumber="1" minValue="760" maxValue="352019"/>
    </cacheField>
    <cacheField name="Dias (VENCIMENTO)" numFmtId="0" databaseField="0">
      <fieldGroup base="0">
        <rangePr autoStart="0" autoEnd="0" groupBy="days" startDate="2026-01-26T00:00:00" endDate="2026-05-28T00:00:00" groupInterval="7"/>
        <groupItems count="20">
          <s v="&lt;26/01/2026"/>
          <s v="26/01/2026 - 01/02/2026"/>
          <s v="02/02/2026 - 08/02/2026"/>
          <s v="09/02/2026 - 15/02/2026"/>
          <s v="16/02/2026 - 22/02/2026"/>
          <s v="23/02/2026 - 01/03/2026"/>
          <s v="02/03/2026 - 08/03/2026"/>
          <s v="09/03/2026 - 15/03/2026"/>
          <s v="16/03/2026 - 22/03/2026"/>
          <s v="23/03/2026 - 29/03/2026"/>
          <s v="30/03/2026 - 05/04/2026"/>
          <s v="06/04/2026 - 12/04/2026"/>
          <s v="13/04/2026 - 19/04/2026"/>
          <s v="20/04/2026 - 26/04/2026"/>
          <s v="27/04/2026 - 03/05/2026"/>
          <s v="04/05/2026 - 10/05/2026"/>
          <s v="11/05/2026 - 17/05/2026"/>
          <s v="18/05/2026 - 24/05/2026"/>
          <s v="25/05/2026 - 28/05/2026"/>
          <s v="&gt;28/05/2026"/>
        </groupItems>
      </fieldGroup>
    </cacheField>
  </cacheFields>
  <extLst>
    <ext xmlns:x14="http://schemas.microsoft.com/office/spreadsheetml/2009/9/main" uri="{725AE2AE-9491-48be-B2B4-4EB974FC3084}">
      <x14:pivotCacheDefinition pivotCacheId="152194732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" refreshedDate="46071.374826157407" createdVersion="8" refreshedVersion="8" minRefreshableVersion="3" recordCount="56" xr:uid="{C9AA6435-7109-4D45-AE7F-1FCF5B2A388F}">
  <cacheSource type="worksheet">
    <worksheetSource name="Tabela2"/>
  </cacheSource>
  <cacheFields count="3">
    <cacheField name="Subdealer/Cliente" numFmtId="0">
      <sharedItems containsBlank="1" count="56">
        <s v="VRJ COMÉRCIO DE DRONES LTDA"/>
        <s v="LCA DRONES ITUPIRANGA (DRE NÃO ABRE)"/>
        <s v="LCA DRONES XINGUARA"/>
        <s v="AGRO SANTANA OURILÂNDIA LTDA (COMPARTILHA LIMITE COM LOJAS  Tucumã &amp; São Félix do Xingu)"/>
        <s v="INOVA DRONES "/>
        <s v="AGRO PRATTO SOLUTIONS "/>
        <s v="SOUSA &amp; LUSTOSA LTDA"/>
        <s v="SOUSA &amp; LUSTOSA LTDA -FILIAL"/>
        <s v="DN SOLUCOES DRONES LTDA (SEM DRE &amp; CONTRATO SOCIAL)"/>
        <s v="HSD DRONES LTDA (SEM DRE &amp; CONTRATO SOCIAL)"/>
        <s v="T. DA SILVA COSTA DRONES E MANUTENÇÕES LTDA (SEM DRE &amp; CONTRATO SOCIAL)"/>
        <s v="DIOGO H DE ALMEIDA LTDA (SEM DRE &amp; CONTRATO SOCIAL)"/>
        <s v="RURAL DRONE VENDAS E SERVIÇOS DE MANUTENÇÃO LTDA"/>
        <s v="RURAL DRONE AGRICULTURA LTDA"/>
        <s v="POTÊNCIA DRONES (SEM DRE E CONTRATO SOCIAL DO CNPJ 61.800.510/0001-38)"/>
        <s v="DRONE SANTA MARIA LTDA"/>
        <s v="WR DRONES COMÉRCIO E SERVIÇO LTDA"/>
        <s v="AGROSUL MAQUINAS &amp; EQUIPAMENTOS AGRICOLAS LTDA"/>
        <s v="AGROGEO COMÉRCIO E SERVIÇOS DE ENGENHARIA E CONSULTORIA FLORESTAL LTDA"/>
        <s v="ALTO GIRO DRONES LTDA"/>
        <s v="TERRA BOA MÁQUINAS AGRÍCOLAS LTDA"/>
        <s v="MAR AUTO PECAS LTDA EPP "/>
        <s v="PULVERIZA  DRONES LTDA - PALMAS"/>
        <s v="R L M DE MIRANDA LTDA"/>
        <s v="J J VANZIN COMERCIAL LTDA FILIAL"/>
        <s v="J J VANZIN COMERCIAL LTDA MATRIZ"/>
        <s v="AGRODRONE SOLUÇÕES AGRÍCOLAS LTDA -  Matriz"/>
        <s v="AGRODRONE SOLUÇÕES AGRÍCOLAS LTDA -  Filial"/>
        <s v="DRONE RURAL COMERCIO E SERVICOS AGRICOLAS LTDA"/>
        <s v="AGROPECUÁRIA AMIGOS DO CAMPO LTDA"/>
        <s v="AEROCAMPO TECNOLOGIA E SOLUCOES AGRICOLAS LTDA"/>
        <s v="M &amp; E PRODUTOS AGROPECUARIOS LTDA"/>
        <s v="ALFA DRONE COMÉRCIO &amp; SERVIÇOS LTDA"/>
        <s v="AGROMINAS PRODUTOS AGROPECUÁRIOS LTDA"/>
        <s v="D R MIRANORTE LTDA"/>
        <s v="A T M MAQUINAS  LTDA - ME "/>
        <s v="GB DRONES COMERCIO E SERVICOS LTDA"/>
        <s v="PULVERIZA DRONES LTDA - ARAGUAINA"/>
        <s v="TEIXEIRA COMERCIO DE PRODUTOS AGROPECUARIOS LTDA - EPP"/>
        <s v="DRONE NORTE MARABA - MATRIZ"/>
        <s v="DRONE NORTE JACUNDA"/>
        <s v="DRONE NORTE FLORESTA DO ARAGUAIANA"/>
        <s v="Drone Chapadão Tecnologia no campo Itaituba"/>
        <s v="Drone Chapadão Tecnologia no campo MTA"/>
        <s v="Drone Chapadão Tecnologia no Campo - Trairao"/>
        <s v="DRONE NORTE CHAPADAO MACAPÁ"/>
        <s v="DRONE CHAPADÃO PLACAS"/>
        <s v="DRONE NORTE SANTANA DO ARAGUAIA LTDA"/>
        <s v="AGUIA DRONE TECNOLOGIA TAILANDIA LTDA"/>
        <s v="DRONE NORTE CHP LTDA"/>
        <s v="DRONE PARA SOARES LTDA"/>
        <s v="DRONE SOARES LTDA"/>
        <s v="DRONE NORTE TECNOLOGIA NO CAMPO PLACAS LTDA"/>
        <m u="1"/>
        <s v="INOVA DRONES (SEM DRE E CONTRATO SOCIAL)" u="1"/>
        <s v="AGRO PRATTO SOLUTIONS ( FALTA DRE)" u="1"/>
      </sharedItems>
    </cacheField>
    <cacheField name="CNPJ" numFmtId="0">
      <sharedItems containsBlank="1" count="57">
        <s v="50.400.474/0001-07"/>
        <s v="49.781.707/0001-71"/>
        <s v="49.781.707/0003-33"/>
        <s v="30.506.654/0001-52"/>
        <s v="62.353.921/0001-95"/>
        <s v="49.424.631/0001-27"/>
        <s v="55.557.542/0002-32 "/>
        <s v="55.557.542/0001-51"/>
        <s v="52.504.023/0002-18"/>
        <s v="55.636.200/0001-27"/>
        <s v="56.079.883/0001-21"/>
        <s v="57.663.515/0001-99"/>
        <s v="52.656.507/0001-00"/>
        <m/>
        <s v="61.800.510/0001-38"/>
        <s v="30.506.654/0002-33"/>
        <s v="51.236.106/0001-20"/>
        <s v="57.046.889/0001-65"/>
        <s v="58.195.457/0001-89"/>
        <s v="61.392.419/0001-20"/>
        <s v="41.186.605/0001-04"/>
        <s v="54.272.575.0001-92"/>
        <s v="54.272.575/0002-73"/>
        <s v="16.603.091/0001-90"/>
        <s v="13.942.645/0001-95"/>
        <s v="51.162.926/0002-03"/>
        <s v="57.821.404/0001-63"/>
        <s v="14.063.977/0002-43"/>
        <s v="14.063.977/0001-62"/>
        <s v="55.529.122/0001-61"/>
        <s v="55.529.122/0002-42"/>
        <s v="13.178.664/0002-78"/>
        <s v="12.062.371/0001-87"/>
        <s v="54.958.978/0001-90"/>
        <s v="05.963.456/0001-70"/>
        <s v="55.101.053/0001-90"/>
        <s v="18.571.855/0004-80"/>
        <s v="62.697.676/0001-33"/>
        <s v="21.352.178/0001-71"/>
        <s v="59.207.933/0001-05"/>
        <s v="51.162.926/0001-14 &amp; "/>
        <s v="36.822.250/0001-54"/>
        <s v="61.302.271/0001-96"/>
        <s v="55.908.959/0001-11"/>
        <s v="56.424.924/0001-70"/>
        <s v="55.299.435/0001-70"/>
        <s v="55.729.705/0001-36"/>
        <s v="57.951.115/0001-89"/>
        <s v="62.521.859/0001-01"/>
        <s v="60.762.005/0001-83"/>
        <s v="56.388.340/0001-96"/>
        <s v="58.002.062/0001-12"/>
        <s v="62.264.011/0001-36"/>
        <s v="55.074.620/0001-67"/>
        <s v="57.917.351/0001-89"/>
        <s v="63.565.377/0001-08"/>
        <s v="Compartilha limite com final 00" u="1"/>
      </sharedItems>
    </cacheField>
    <cacheField name="Limite de Crédito (R$)" numFmtId="165">
      <sharedItems containsBlank="1" containsMixedTypes="1" containsNumber="1" minValue="0" maxValue="2500000" count="23">
        <n v="1500000"/>
        <n v="1930376.74"/>
        <s v="Compartilha limite com matriz"/>
        <n v="2500000"/>
        <s v="(SEM DRE E CONTRATO SOCIAL)"/>
        <s v="( FALTA DRE)"/>
        <n v="150000"/>
        <m/>
        <n v="250000"/>
        <n v="1200000"/>
        <s v="Compartilha limite com final 00"/>
        <n v="100000"/>
        <n v="500000"/>
        <s v="Compartilha limite com final 92"/>
        <n v="724000"/>
        <n v="160000"/>
        <n v="0"/>
        <s v="COMPARTILHA LIMITE COM FILIAL"/>
        <n v="350000"/>
        <s v="Limite retirado por excesso de atrasos."/>
        <n v="380000"/>
        <n v="300000"/>
        <n v="600000"/>
      </sharedItems>
    </cacheField>
  </cacheFields>
  <extLst>
    <ext xmlns:x14="http://schemas.microsoft.com/office/spreadsheetml/2009/9/main" uri="{725AE2AE-9491-48be-B2B4-4EB974FC3084}">
      <x14:pivotCacheDefinition pivotCacheId="418645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x v="0"/>
    <x v="0"/>
    <x v="0"/>
    <n v="70336"/>
    <n v="70336"/>
  </r>
  <r>
    <x v="1"/>
    <x v="1"/>
    <x v="1"/>
    <n v="47582.9"/>
    <n v="47582.9"/>
  </r>
  <r>
    <x v="1"/>
    <x v="2"/>
    <x v="2"/>
    <n v="85493.34"/>
    <n v="85493.34"/>
  </r>
  <r>
    <x v="1"/>
    <x v="3"/>
    <x v="3"/>
    <n v="4244.8999999999996"/>
    <n v="4244.8999999999996"/>
  </r>
  <r>
    <x v="2"/>
    <x v="4"/>
    <x v="1"/>
    <n v="48706.64"/>
    <n v="48706.64"/>
  </r>
  <r>
    <x v="2"/>
    <x v="5"/>
    <x v="2"/>
    <n v="46515"/>
    <n v="46515"/>
  </r>
  <r>
    <x v="2"/>
    <x v="6"/>
    <x v="2"/>
    <n v="15486"/>
    <n v="15486"/>
  </r>
  <r>
    <x v="2"/>
    <x v="7"/>
    <x v="1"/>
    <n v="15500"/>
    <n v="15500"/>
  </r>
  <r>
    <x v="2"/>
    <x v="8"/>
    <x v="3"/>
    <n v="54620"/>
    <n v="54620"/>
  </r>
  <r>
    <x v="2"/>
    <x v="9"/>
    <x v="3"/>
    <n v="83900.25"/>
    <n v="83900.25"/>
  </r>
  <r>
    <x v="2"/>
    <x v="10"/>
    <x v="3"/>
    <n v="30880"/>
    <n v="30880"/>
  </r>
  <r>
    <x v="2"/>
    <x v="11"/>
    <x v="3"/>
    <n v="50580"/>
    <n v="50580"/>
  </r>
  <r>
    <x v="2"/>
    <x v="12"/>
    <x v="3"/>
    <n v="26460.28"/>
    <n v="26460.28"/>
  </r>
  <r>
    <x v="3"/>
    <x v="13"/>
    <x v="4"/>
    <n v="12655.71"/>
    <n v="12655.71"/>
  </r>
  <r>
    <x v="4"/>
    <x v="14"/>
    <x v="2"/>
    <n v="6900"/>
    <n v="6900"/>
  </r>
  <r>
    <x v="5"/>
    <x v="15"/>
    <x v="2"/>
    <n v="39900.01"/>
    <n v="39900.01"/>
  </r>
  <r>
    <x v="5"/>
    <x v="16"/>
    <x v="2"/>
    <n v="53375.01"/>
    <n v="53375.01"/>
  </r>
  <r>
    <x v="5"/>
    <x v="17"/>
    <x v="3"/>
    <n v="43500"/>
    <n v="43500"/>
  </r>
  <r>
    <x v="5"/>
    <x v="18"/>
    <x v="5"/>
    <n v="34550"/>
    <n v="34550"/>
  </r>
  <r>
    <x v="6"/>
    <x v="19"/>
    <x v="3"/>
    <n v="26460.29"/>
    <n v="26460.29"/>
  </r>
  <r>
    <x v="6"/>
    <x v="20"/>
    <x v="3"/>
    <n v="2691.16"/>
    <n v="2691.16"/>
  </r>
  <r>
    <x v="7"/>
    <x v="21"/>
    <x v="6"/>
    <n v="24750.17"/>
    <n v="24750.17"/>
  </r>
  <r>
    <x v="7"/>
    <x v="22"/>
    <x v="1"/>
    <n v="48706.64"/>
    <n v="48706.64"/>
  </r>
  <r>
    <x v="8"/>
    <x v="23"/>
    <x v="2"/>
    <n v="14221.48"/>
    <n v="14221.48"/>
  </r>
  <r>
    <x v="9"/>
    <x v="24"/>
    <x v="2"/>
    <n v="47475.02"/>
    <n v="47475.02"/>
  </r>
  <r>
    <x v="9"/>
    <x v="25"/>
    <x v="2"/>
    <n v="23550"/>
    <n v="23550"/>
  </r>
  <r>
    <x v="9"/>
    <x v="26"/>
    <x v="2"/>
    <n v="18668"/>
    <n v="18668"/>
  </r>
  <r>
    <x v="10"/>
    <x v="27"/>
    <x v="6"/>
    <n v="76599.78"/>
    <n v="76599.78"/>
  </r>
  <r>
    <x v="10"/>
    <x v="28"/>
    <x v="3"/>
    <n v="32322.46"/>
    <n v="32322.46"/>
  </r>
  <r>
    <x v="10"/>
    <x v="29"/>
    <x v="3"/>
    <n v="31246.77"/>
    <n v="31246.77"/>
  </r>
  <r>
    <x v="10"/>
    <x v="30"/>
    <x v="3"/>
    <n v="65922.100000000006"/>
    <n v="65922.100000000006"/>
  </r>
  <r>
    <x v="10"/>
    <x v="31"/>
    <x v="3"/>
    <n v="30586.42"/>
    <n v="30586.42"/>
  </r>
  <r>
    <x v="11"/>
    <x v="32"/>
    <x v="5"/>
    <n v="34550"/>
    <n v="34550"/>
  </r>
  <r>
    <x v="11"/>
    <x v="33"/>
    <x v="3"/>
    <n v="3565.75"/>
    <n v="3565.75"/>
  </r>
  <r>
    <x v="11"/>
    <x v="34"/>
    <x v="3"/>
    <n v="9395.01"/>
    <n v="9395.01"/>
  </r>
  <r>
    <x v="11"/>
    <x v="35"/>
    <x v="3"/>
    <n v="5616.79"/>
    <n v="5616.79"/>
  </r>
  <r>
    <x v="12"/>
    <x v="36"/>
    <x v="3"/>
    <n v="33033.72"/>
    <n v="33033.72"/>
  </r>
  <r>
    <x v="12"/>
    <x v="37"/>
    <x v="3"/>
    <n v="48973.83"/>
    <n v="48973.83"/>
  </r>
  <r>
    <x v="12"/>
    <x v="38"/>
    <x v="3"/>
    <n v="99251.89"/>
    <n v="99251.89"/>
  </r>
  <r>
    <x v="12"/>
    <x v="39"/>
    <x v="3"/>
    <n v="46400.91"/>
    <n v="46400.91"/>
  </r>
  <r>
    <x v="12"/>
    <x v="40"/>
    <x v="6"/>
    <n v="70282.899999999994"/>
    <n v="70282.899999999994"/>
  </r>
  <r>
    <x v="12"/>
    <x v="41"/>
    <x v="7"/>
    <n v="60476.87"/>
    <n v="60476.87"/>
  </r>
  <r>
    <x v="12"/>
    <x v="42"/>
    <x v="3"/>
    <n v="26530.17"/>
    <n v="26530.17"/>
  </r>
  <r>
    <x v="13"/>
    <x v="43"/>
    <x v="3"/>
    <n v="8193"/>
    <n v="8193"/>
  </r>
  <r>
    <x v="14"/>
    <x v="44"/>
    <x v="1"/>
    <n v="48268.53"/>
    <n v="48268.53"/>
  </r>
  <r>
    <x v="15"/>
    <x v="45"/>
    <x v="1"/>
    <n v="47582.9"/>
    <n v="47582.9"/>
  </r>
  <r>
    <x v="15"/>
    <x v="46"/>
    <x v="2"/>
    <n v="85493.34"/>
    <n v="85493.34"/>
  </r>
  <r>
    <x v="15"/>
    <x v="47"/>
    <x v="1"/>
    <n v="48706.64"/>
    <n v="48706.64"/>
  </r>
  <r>
    <x v="15"/>
    <x v="48"/>
    <x v="2"/>
    <n v="46515"/>
    <n v="46515"/>
  </r>
  <r>
    <x v="15"/>
    <x v="49"/>
    <x v="1"/>
    <n v="15500"/>
    <n v="15500"/>
  </r>
  <r>
    <x v="16"/>
    <x v="50"/>
    <x v="3"/>
    <n v="54620"/>
    <n v="54620"/>
  </r>
  <r>
    <x v="16"/>
    <x v="51"/>
    <x v="3"/>
    <n v="83900.25"/>
    <n v="83900.25"/>
  </r>
  <r>
    <x v="16"/>
    <x v="52"/>
    <x v="3"/>
    <n v="30880"/>
    <n v="30880"/>
  </r>
  <r>
    <x v="16"/>
    <x v="53"/>
    <x v="3"/>
    <n v="50580"/>
    <n v="50580"/>
  </r>
  <r>
    <x v="16"/>
    <x v="54"/>
    <x v="3"/>
    <n v="23542.720000000001"/>
    <n v="23542.720000000001"/>
  </r>
  <r>
    <x v="17"/>
    <x v="55"/>
    <x v="2"/>
    <n v="39900"/>
    <n v="39900"/>
  </r>
  <r>
    <x v="17"/>
    <x v="56"/>
    <x v="2"/>
    <n v="53375"/>
    <n v="53375"/>
  </r>
  <r>
    <x v="17"/>
    <x v="57"/>
    <x v="3"/>
    <n v="43500"/>
    <n v="43500"/>
  </r>
  <r>
    <x v="17"/>
    <x v="58"/>
    <x v="6"/>
    <n v="19149.95"/>
    <n v="19149.95"/>
  </r>
  <r>
    <x v="17"/>
    <x v="59"/>
    <x v="1"/>
    <n v="48706.64"/>
    <n v="48706.64"/>
  </r>
  <r>
    <x v="17"/>
    <x v="60"/>
    <x v="3"/>
    <n v="23542.73"/>
    <n v="23542.73"/>
  </r>
  <r>
    <x v="18"/>
    <x v="61"/>
    <x v="2"/>
    <n v="47475"/>
    <n v="47475"/>
  </r>
  <r>
    <x v="18"/>
    <x v="62"/>
    <x v="2"/>
    <n v="23550"/>
    <n v="23550"/>
  </r>
  <r>
    <x v="18"/>
    <x v="63"/>
    <x v="2"/>
    <n v="18668"/>
    <n v="18668"/>
  </r>
  <r>
    <x v="19"/>
    <x v="64"/>
    <x v="6"/>
    <n v="76599.789999999994"/>
    <n v="76599.789999999994"/>
  </r>
  <r>
    <x v="19"/>
    <x v="65"/>
    <x v="3"/>
    <n v="27584.75"/>
    <n v="27584.75"/>
  </r>
  <r>
    <x v="19"/>
    <x v="66"/>
    <x v="3"/>
    <n v="58026.63"/>
    <n v="58026.63"/>
  </r>
  <r>
    <x v="20"/>
    <x v="67"/>
    <x v="3"/>
    <n v="9001.51"/>
    <n v="9001.51"/>
  </r>
  <r>
    <x v="20"/>
    <x v="68"/>
    <x v="3"/>
    <n v="26966.29"/>
    <n v="26966.29"/>
  </r>
  <r>
    <x v="20"/>
    <x v="69"/>
    <x v="3"/>
    <n v="37344.720000000001"/>
    <n v="37344.720000000001"/>
  </r>
  <r>
    <x v="20"/>
    <x v="70"/>
    <x v="3"/>
    <n v="88117.04"/>
    <n v="88117.04"/>
  </r>
  <r>
    <x v="20"/>
    <x v="71"/>
    <x v="3"/>
    <n v="26101.59"/>
    <n v="26101.59"/>
  </r>
  <r>
    <x v="20"/>
    <x v="72"/>
    <x v="3"/>
    <n v="5481.88"/>
    <n v="5481.88"/>
  </r>
  <r>
    <x v="21"/>
    <x v="73"/>
    <x v="3"/>
    <n v="35200.370000000003"/>
    <n v="35200.370000000003"/>
  </r>
  <r>
    <x v="21"/>
    <x v="74"/>
    <x v="6"/>
    <n v="62823.040000000001"/>
    <n v="62823.040000000001"/>
  </r>
  <r>
    <x v="21"/>
    <x v="75"/>
    <x v="7"/>
    <n v="53841.05"/>
    <n v="53841.05"/>
  </r>
  <r>
    <x v="22"/>
    <x v="76"/>
    <x v="1"/>
    <n v="48268.54"/>
    <n v="48268.54"/>
  </r>
  <r>
    <x v="23"/>
    <x v="77"/>
    <x v="1"/>
    <n v="47582.9"/>
    <n v="47582.9"/>
  </r>
  <r>
    <x v="23"/>
    <x v="78"/>
    <x v="2"/>
    <n v="85493.34"/>
    <n v="85493.34"/>
  </r>
  <r>
    <x v="24"/>
    <x v="79"/>
    <x v="1"/>
    <n v="48706.64"/>
    <n v="48706.64"/>
  </r>
  <r>
    <x v="25"/>
    <x v="80"/>
    <x v="3"/>
    <n v="54620"/>
    <n v="54620"/>
  </r>
  <r>
    <x v="25"/>
    <x v="81"/>
    <x v="3"/>
    <n v="83900.25"/>
    <n v="83900.25"/>
  </r>
  <r>
    <x v="25"/>
    <x v="82"/>
    <x v="3"/>
    <n v="30880"/>
    <n v="30880"/>
  </r>
  <r>
    <x v="25"/>
    <x v="83"/>
    <x v="3"/>
    <n v="50580"/>
    <n v="50580"/>
  </r>
  <r>
    <x v="26"/>
    <x v="84"/>
    <x v="2"/>
    <n v="39900"/>
    <n v="39900"/>
  </r>
  <r>
    <x v="26"/>
    <x v="85"/>
    <x v="2"/>
    <n v="53375"/>
    <n v="53375"/>
  </r>
  <r>
    <x v="26"/>
    <x v="86"/>
    <x v="3"/>
    <n v="43500"/>
    <n v="43500"/>
  </r>
  <r>
    <x v="27"/>
    <x v="87"/>
    <x v="6"/>
    <n v="19149.95"/>
    <n v="19149.95"/>
  </r>
  <r>
    <x v="27"/>
    <x v="88"/>
    <x v="1"/>
    <n v="48706.64"/>
    <n v="48706.64"/>
  </r>
  <r>
    <x v="28"/>
    <x v="89"/>
    <x v="2"/>
    <n v="47475"/>
    <n v="47475"/>
  </r>
  <r>
    <x v="28"/>
    <x v="90"/>
    <x v="2"/>
    <n v="23550"/>
    <n v="23550"/>
  </r>
  <r>
    <x v="28"/>
    <x v="91"/>
    <x v="2"/>
    <n v="18666"/>
    <n v="18666"/>
  </r>
  <r>
    <x v="29"/>
    <x v="92"/>
    <x v="3"/>
    <n v="27584.75"/>
    <n v="27584.75"/>
  </r>
  <r>
    <x v="29"/>
    <x v="93"/>
    <x v="3"/>
    <n v="58026.63"/>
    <n v="58026.63"/>
  </r>
  <r>
    <x v="30"/>
    <x v="94"/>
    <x v="3"/>
    <n v="9001.51"/>
    <n v="9001.51"/>
  </r>
  <r>
    <x v="30"/>
    <x v="95"/>
    <x v="3"/>
    <n v="5481.89"/>
    <n v="5481.89"/>
  </r>
  <r>
    <x v="31"/>
    <x v="96"/>
    <x v="3"/>
    <n v="37344.720000000001"/>
    <n v="37344.720000000001"/>
  </r>
  <r>
    <x v="31"/>
    <x v="97"/>
    <x v="3"/>
    <n v="88117.04"/>
    <n v="88117.04"/>
  </r>
  <r>
    <x v="32"/>
    <x v="98"/>
    <x v="3"/>
    <n v="35200.370000000003"/>
    <n v="35200.370000000003"/>
  </r>
  <r>
    <x v="32"/>
    <x v="99"/>
    <x v="6"/>
    <n v="62823.040000000001"/>
    <n v="62823.040000000001"/>
  </r>
  <r>
    <x v="32"/>
    <x v="100"/>
    <x v="7"/>
    <n v="53841.05"/>
    <n v="53841.05"/>
  </r>
  <r>
    <x v="33"/>
    <x v="101"/>
    <x v="1"/>
    <n v="47582.89"/>
    <n v="47582.89"/>
  </r>
  <r>
    <x v="34"/>
    <x v="102"/>
    <x v="1"/>
    <n v="48706.64"/>
    <n v="48706.64"/>
  </r>
  <r>
    <x v="35"/>
    <x v="103"/>
    <x v="3"/>
    <n v="54620"/>
    <n v="54620"/>
  </r>
  <r>
    <x v="35"/>
    <x v="104"/>
    <x v="3"/>
    <n v="83900.25"/>
    <n v="83900.25"/>
  </r>
  <r>
    <x v="35"/>
    <x v="105"/>
    <x v="3"/>
    <n v="30880.01"/>
    <n v="30880.01"/>
  </r>
  <r>
    <x v="35"/>
    <x v="106"/>
    <x v="3"/>
    <n v="50580"/>
    <n v="50580"/>
  </r>
  <r>
    <x v="36"/>
    <x v="107"/>
    <x v="2"/>
    <n v="39900"/>
    <n v="39900"/>
  </r>
  <r>
    <x v="36"/>
    <x v="108"/>
    <x v="2"/>
    <n v="53375"/>
    <n v="53375"/>
  </r>
  <r>
    <x v="36"/>
    <x v="109"/>
    <x v="3"/>
    <n v="43500"/>
    <n v="43500"/>
  </r>
  <r>
    <x v="37"/>
    <x v="110"/>
    <x v="6"/>
    <n v="19149.939999999999"/>
    <n v="19149.939999999999"/>
  </r>
  <r>
    <x v="37"/>
    <x v="111"/>
    <x v="1"/>
    <n v="48706.64"/>
    <n v="48706.64"/>
  </r>
  <r>
    <x v="38"/>
    <x v="112"/>
    <x v="2"/>
    <n v="47475"/>
    <n v="47475"/>
  </r>
  <r>
    <x v="38"/>
    <x v="113"/>
    <x v="2"/>
    <n v="23550"/>
    <n v="23550"/>
  </r>
  <r>
    <x v="39"/>
    <x v="114"/>
    <x v="3"/>
    <n v="27584.73"/>
    <n v="27584.73"/>
  </r>
  <r>
    <x v="39"/>
    <x v="115"/>
    <x v="3"/>
    <n v="58026.64"/>
    <n v="58026.64"/>
  </r>
  <r>
    <x v="40"/>
    <x v="116"/>
    <x v="3"/>
    <n v="37344.730000000003"/>
    <n v="37344.730000000003"/>
  </r>
  <r>
    <x v="40"/>
    <x v="117"/>
    <x v="3"/>
    <n v="88117.03"/>
    <n v="88117.03"/>
  </r>
  <r>
    <x v="41"/>
    <x v="118"/>
    <x v="3"/>
    <n v="35200.35"/>
    <n v="35200.35"/>
  </r>
  <r>
    <x v="41"/>
    <x v="119"/>
    <x v="6"/>
    <n v="62823.02"/>
    <n v="62823.02"/>
  </r>
  <r>
    <x v="41"/>
    <x v="120"/>
    <x v="7"/>
    <n v="53841.03"/>
    <n v="53841.03"/>
  </r>
  <r>
    <x v="2"/>
    <x v="121"/>
    <x v="8"/>
    <n v="55395.94"/>
    <n v="55395.94"/>
  </r>
  <r>
    <x v="2"/>
    <x v="122"/>
    <x v="8"/>
    <n v="29710.46"/>
    <n v="29710.46"/>
  </r>
  <r>
    <x v="6"/>
    <x v="123"/>
    <x v="8"/>
    <n v="27057.29"/>
    <n v="27057.29"/>
  </r>
  <r>
    <x v="7"/>
    <x v="124"/>
    <x v="7"/>
    <n v="110654.51"/>
    <n v="110654.51"/>
  </r>
  <r>
    <x v="7"/>
    <x v="125"/>
    <x v="6"/>
    <n v="85903.37"/>
    <n v="85903.37"/>
  </r>
  <r>
    <x v="10"/>
    <x v="126"/>
    <x v="6"/>
    <n v="69367.929999999993"/>
    <n v="69367.929999999993"/>
  </r>
  <r>
    <x v="10"/>
    <x v="127"/>
    <x v="7"/>
    <n v="85201.9"/>
    <n v="85201.9"/>
  </r>
  <r>
    <x v="10"/>
    <x v="128"/>
    <x v="8"/>
    <n v="76601.899999999994"/>
    <n v="76601.899999999994"/>
  </r>
  <r>
    <x v="42"/>
    <x v="129"/>
    <x v="9"/>
    <n v="352019"/>
    <n v="352019"/>
  </r>
  <r>
    <x v="12"/>
    <x v="130"/>
    <x v="6"/>
    <n v="40780"/>
    <n v="40780"/>
  </r>
  <r>
    <x v="12"/>
    <x v="131"/>
    <x v="7"/>
    <n v="51067.93"/>
    <n v="51067.93"/>
  </r>
  <r>
    <x v="12"/>
    <x v="132"/>
    <x v="4"/>
    <n v="98393.54"/>
    <n v="98393.54"/>
  </r>
  <r>
    <x v="12"/>
    <x v="133"/>
    <x v="2"/>
    <n v="31000"/>
    <n v="31000"/>
  </r>
  <r>
    <x v="12"/>
    <x v="134"/>
    <x v="8"/>
    <n v="69352.7"/>
    <n v="69352.7"/>
  </r>
  <r>
    <x v="12"/>
    <x v="135"/>
    <x v="3"/>
    <n v="65923.8"/>
    <n v="65923.8"/>
  </r>
  <r>
    <x v="15"/>
    <x v="136"/>
    <x v="8"/>
    <n v="26292.5"/>
    <n v="26292.5"/>
  </r>
  <r>
    <x v="16"/>
    <x v="137"/>
    <x v="8"/>
    <n v="49003.43"/>
    <n v="49003.43"/>
  </r>
  <r>
    <x v="17"/>
    <x v="138"/>
    <x v="7"/>
    <n v="89619.6"/>
    <n v="89619.6"/>
  </r>
  <r>
    <x v="17"/>
    <x v="139"/>
    <x v="6"/>
    <n v="70468.899999999994"/>
    <n v="70468.899999999994"/>
  </r>
  <r>
    <x v="17"/>
    <x v="140"/>
    <x v="8"/>
    <n v="23944.5"/>
    <n v="23944.5"/>
  </r>
  <r>
    <x v="19"/>
    <x v="141"/>
    <x v="6"/>
    <n v="69367.94"/>
    <n v="69367.94"/>
  </r>
  <r>
    <x v="19"/>
    <x v="142"/>
    <x v="7"/>
    <n v="85201.9"/>
    <n v="85201.9"/>
  </r>
  <r>
    <x v="20"/>
    <x v="143"/>
    <x v="6"/>
    <n v="40780"/>
    <n v="40780"/>
  </r>
  <r>
    <x v="20"/>
    <x v="144"/>
    <x v="7"/>
    <n v="51067.94"/>
    <n v="51067.94"/>
  </r>
  <r>
    <x v="20"/>
    <x v="145"/>
    <x v="4"/>
    <n v="82309.87"/>
    <n v="82309.87"/>
  </r>
  <r>
    <x v="20"/>
    <x v="146"/>
    <x v="8"/>
    <n v="60885.5"/>
    <n v="60885.5"/>
  </r>
  <r>
    <x v="21"/>
    <x v="147"/>
    <x v="3"/>
    <n v="58028"/>
    <n v="58028"/>
  </r>
  <r>
    <x v="25"/>
    <x v="148"/>
    <x v="8"/>
    <n v="49003.44"/>
    <n v="49003.44"/>
  </r>
  <r>
    <x v="27"/>
    <x v="149"/>
    <x v="7"/>
    <n v="89619.6"/>
    <n v="89619.6"/>
  </r>
  <r>
    <x v="27"/>
    <x v="150"/>
    <x v="6"/>
    <n v="70468.899999999994"/>
    <n v="70468.899999999994"/>
  </r>
  <r>
    <x v="31"/>
    <x v="151"/>
    <x v="4"/>
    <n v="82309.86"/>
    <n v="82309.86"/>
  </r>
  <r>
    <x v="31"/>
    <x v="152"/>
    <x v="8"/>
    <n v="60885.5"/>
    <n v="60885.5"/>
  </r>
  <r>
    <x v="32"/>
    <x v="153"/>
    <x v="3"/>
    <n v="58028"/>
    <n v="58028"/>
  </r>
  <r>
    <x v="37"/>
    <x v="154"/>
    <x v="7"/>
    <n v="89619.6"/>
    <n v="89619.6"/>
  </r>
  <r>
    <x v="37"/>
    <x v="155"/>
    <x v="6"/>
    <n v="70468.899999999994"/>
    <n v="70468.899999999994"/>
  </r>
  <r>
    <x v="40"/>
    <x v="156"/>
    <x v="8"/>
    <n v="60885.5"/>
    <n v="60885.5"/>
  </r>
  <r>
    <x v="41"/>
    <x v="157"/>
    <x v="3"/>
    <n v="58028"/>
    <n v="58028"/>
  </r>
  <r>
    <x v="7"/>
    <x v="158"/>
    <x v="10"/>
    <n v="28817.62"/>
    <n v="28817.62"/>
  </r>
  <r>
    <x v="7"/>
    <x v="159"/>
    <x v="11"/>
    <n v="41101.620000000003"/>
    <n v="41101.620000000003"/>
  </r>
  <r>
    <x v="7"/>
    <x v="160"/>
    <x v="10"/>
    <n v="8500.89"/>
    <n v="8500.89"/>
  </r>
  <r>
    <x v="43"/>
    <x v="161"/>
    <x v="12"/>
    <n v="227754.86"/>
    <n v="227754.86"/>
  </r>
  <r>
    <x v="9"/>
    <x v="162"/>
    <x v="11"/>
    <n v="42074.239999999998"/>
    <n v="42074.239999999998"/>
  </r>
  <r>
    <x v="10"/>
    <x v="163"/>
    <x v="10"/>
    <n v="6474.13"/>
    <n v="6474.13"/>
  </r>
  <r>
    <x v="11"/>
    <x v="164"/>
    <x v="12"/>
    <n v="216254.86"/>
    <n v="216254.86"/>
  </r>
  <r>
    <x v="12"/>
    <x v="165"/>
    <x v="13"/>
    <n v="162096.16"/>
    <n v="162096.16"/>
  </r>
  <r>
    <x v="12"/>
    <x v="166"/>
    <x v="13"/>
    <n v="760"/>
    <n v="760"/>
  </r>
  <r>
    <x v="44"/>
    <x v="167"/>
    <x v="13"/>
    <n v="40590"/>
    <n v="40590"/>
  </r>
  <r>
    <x v="44"/>
    <x v="168"/>
    <x v="13"/>
    <n v="40592"/>
    <n v="40592"/>
  </r>
  <r>
    <x v="17"/>
    <x v="169"/>
    <x v="10"/>
    <n v="28817.599999999999"/>
    <n v="28817.599999999999"/>
  </r>
  <r>
    <x v="17"/>
    <x v="170"/>
    <x v="10"/>
    <n v="8500"/>
    <n v="8500"/>
  </r>
  <r>
    <x v="18"/>
    <x v="171"/>
    <x v="12"/>
    <n v="196885.63"/>
    <n v="196885.63"/>
  </r>
  <r>
    <x v="20"/>
    <x v="172"/>
    <x v="12"/>
    <n v="185385.63"/>
    <n v="185385.63"/>
  </r>
  <r>
    <x v="20"/>
    <x v="173"/>
    <x v="13"/>
    <n v="162096.15"/>
    <n v="162096.15"/>
  </r>
  <r>
    <x v="27"/>
    <x v="174"/>
    <x v="10"/>
    <n v="28817.599999999999"/>
    <n v="28817.599999999999"/>
  </r>
  <r>
    <x v="27"/>
    <x v="175"/>
    <x v="10"/>
    <n v="8500"/>
    <n v="8500"/>
  </r>
  <r>
    <x v="45"/>
    <x v="176"/>
    <x v="12"/>
    <n v="196885.64"/>
    <n v="196885.64"/>
  </r>
  <r>
    <x v="30"/>
    <x v="177"/>
    <x v="12"/>
    <n v="185385.64"/>
    <n v="185385.64"/>
  </r>
  <r>
    <x v="5"/>
    <x v="178"/>
    <x v="14"/>
    <n v="3450"/>
    <n v="3450"/>
  </r>
  <r>
    <x v="5"/>
    <x v="179"/>
    <x v="14"/>
    <n v="51003.57"/>
    <n v="51003.57"/>
  </r>
  <r>
    <x v="7"/>
    <x v="180"/>
    <x v="0"/>
    <n v="73982.92"/>
    <n v="73982.92"/>
  </r>
  <r>
    <x v="7"/>
    <x v="181"/>
    <x v="15"/>
    <n v="109460.35"/>
    <n v="109460.35"/>
  </r>
  <r>
    <x v="7"/>
    <x v="182"/>
    <x v="0"/>
    <n v="770.15"/>
    <n v="770.15"/>
  </r>
  <r>
    <x v="43"/>
    <x v="183"/>
    <x v="16"/>
    <n v="227754.86"/>
    <n v="227754.86"/>
  </r>
  <r>
    <x v="43"/>
    <x v="184"/>
    <x v="15"/>
    <n v="938.25"/>
    <n v="938.25"/>
  </r>
  <r>
    <x v="10"/>
    <x v="185"/>
    <x v="17"/>
    <n v="60498.41"/>
    <n v="60498.41"/>
  </r>
  <r>
    <x v="10"/>
    <x v="186"/>
    <x v="17"/>
    <n v="19076.46"/>
    <n v="19076.46"/>
  </r>
  <r>
    <x v="11"/>
    <x v="187"/>
    <x v="16"/>
    <n v="216254.67"/>
    <n v="216254.67"/>
  </r>
  <r>
    <x v="12"/>
    <x v="188"/>
    <x v="15"/>
    <n v="206468.9"/>
    <n v="206468.9"/>
  </r>
  <r>
    <x v="12"/>
    <x v="189"/>
    <x v="15"/>
    <n v="2436"/>
    <n v="2436"/>
  </r>
  <r>
    <x v="17"/>
    <x v="190"/>
    <x v="0"/>
    <n v="73982.91"/>
    <n v="73982.91"/>
  </r>
  <r>
    <x v="17"/>
    <x v="191"/>
    <x v="0"/>
    <n v="770.15"/>
    <n v="770.15"/>
  </r>
  <r>
    <x v="46"/>
    <x v="192"/>
    <x v="15"/>
    <n v="109460.2"/>
    <n v="109460.2"/>
  </r>
  <r>
    <x v="18"/>
    <x v="193"/>
    <x v="16"/>
    <n v="196885.63"/>
    <n v="196885.63"/>
  </r>
  <r>
    <x v="18"/>
    <x v="194"/>
    <x v="17"/>
    <n v="52754.67"/>
    <n v="52754.67"/>
  </r>
  <r>
    <x v="18"/>
    <x v="195"/>
    <x v="17"/>
    <n v="15963.67"/>
    <n v="15963.67"/>
  </r>
  <r>
    <x v="20"/>
    <x v="196"/>
    <x v="16"/>
    <n v="185385.73"/>
    <n v="185385.73"/>
  </r>
  <r>
    <x v="27"/>
    <x v="197"/>
    <x v="0"/>
    <n v="73982.91"/>
    <n v="73982.91"/>
  </r>
  <r>
    <x v="27"/>
    <x v="198"/>
    <x v="0"/>
    <n v="770.14"/>
    <n v="770.14"/>
  </r>
  <r>
    <x v="47"/>
    <x v="199"/>
    <x v="15"/>
    <n v="109460"/>
    <n v="109460"/>
  </r>
  <r>
    <x v="45"/>
    <x v="200"/>
    <x v="16"/>
    <n v="196885.64"/>
    <n v="196885.64"/>
  </r>
  <r>
    <x v="48"/>
    <x v="201"/>
    <x v="17"/>
    <n v="52754.66"/>
    <n v="52754.66"/>
  </r>
  <r>
    <x v="48"/>
    <x v="202"/>
    <x v="17"/>
    <n v="15963.66"/>
    <n v="15963.66"/>
  </r>
  <r>
    <x v="30"/>
    <x v="203"/>
    <x v="16"/>
    <n v="185385.74"/>
    <n v="185385.74"/>
  </r>
  <r>
    <x v="2"/>
    <x v="204"/>
    <x v="18"/>
    <n v="8228.69"/>
    <n v="8228.69"/>
  </r>
  <r>
    <x v="6"/>
    <x v="205"/>
    <x v="19"/>
    <n v="6928.06"/>
    <n v="6928.06"/>
  </r>
  <r>
    <x v="8"/>
    <x v="206"/>
    <x v="19"/>
    <n v="6928.06"/>
    <n v="6928.06"/>
  </r>
  <r>
    <x v="10"/>
    <x v="207"/>
    <x v="19"/>
    <n v="4185.13"/>
    <n v="4185.13"/>
  </r>
  <r>
    <x v="11"/>
    <x v="208"/>
    <x v="20"/>
    <n v="12916.88"/>
    <n v="12916.88"/>
  </r>
  <r>
    <x v="17"/>
    <x v="209"/>
    <x v="19"/>
    <n v="5360.2"/>
    <n v="5360.2"/>
  </r>
  <r>
    <x v="49"/>
    <x v="210"/>
    <x v="19"/>
    <n v="5360.2"/>
    <n v="5360.2"/>
  </r>
  <r>
    <x v="50"/>
    <x v="211"/>
    <x v="19"/>
    <n v="4185.1400000000003"/>
    <n v="4185.1400000000003"/>
  </r>
  <r>
    <x v="20"/>
    <x v="212"/>
    <x v="20"/>
    <n v="11782.32"/>
    <n v="11782.32"/>
  </r>
  <r>
    <x v="51"/>
    <x v="213"/>
    <x v="19"/>
    <n v="5360.2"/>
    <n v="5360.2"/>
  </r>
  <r>
    <x v="45"/>
    <x v="214"/>
    <x v="19"/>
    <n v="5360.2"/>
    <n v="5360.2"/>
  </r>
  <r>
    <x v="30"/>
    <x v="215"/>
    <x v="20"/>
    <n v="11782.33"/>
    <n v="11782.33"/>
  </r>
  <r>
    <x v="2"/>
    <x v="216"/>
    <x v="21"/>
    <n v="14770.64"/>
    <n v="14770.64"/>
  </r>
  <r>
    <x v="9"/>
    <x v="217"/>
    <x v="22"/>
    <n v="12400"/>
    <n v="12400"/>
  </r>
  <r>
    <x v="52"/>
    <x v="218"/>
    <x v="21"/>
    <n v="6200"/>
    <n v="6200"/>
  </r>
  <r>
    <x v="13"/>
    <x v="219"/>
    <x v="22"/>
    <n v="16421.400000000001"/>
    <n v="16421.400000000001"/>
  </r>
  <r>
    <x v="16"/>
    <x v="220"/>
    <x v="21"/>
    <n v="14770.65"/>
    <n v="14770.65"/>
  </r>
  <r>
    <x v="10"/>
    <x v="221"/>
    <x v="23"/>
    <n v="91461.86"/>
    <n v="91461.86"/>
  </r>
  <r>
    <x v="11"/>
    <x v="222"/>
    <x v="23"/>
    <n v="76006.240000000005"/>
    <n v="76006.240000000005"/>
  </r>
  <r>
    <x v="19"/>
    <x v="223"/>
    <x v="23"/>
    <n v="91460"/>
    <n v="91460"/>
  </r>
  <r>
    <x v="29"/>
    <x v="224"/>
    <x v="23"/>
    <n v="91460"/>
    <n v="91460"/>
  </r>
  <r>
    <x v="20"/>
    <x v="212"/>
    <x v="20"/>
    <n v="11782.32"/>
    <n v="11782.32"/>
  </r>
  <r>
    <x v="21"/>
    <x v="73"/>
    <x v="3"/>
    <n v="35200.370000000003"/>
    <n v="35200.370000000003"/>
  </r>
  <r>
    <x v="21"/>
    <x v="147"/>
    <x v="3"/>
    <n v="58028"/>
    <n v="58028"/>
  </r>
  <r>
    <x v="53"/>
    <x v="225"/>
    <x v="12"/>
    <n v="53202.34"/>
    <n v="53202.34"/>
  </r>
  <r>
    <x v="53"/>
    <x v="226"/>
    <x v="12"/>
    <n v="136903.6"/>
    <n v="136903.6"/>
  </r>
  <r>
    <x v="53"/>
    <x v="227"/>
    <x v="24"/>
    <n v="3595.12"/>
    <n v="3595.12"/>
  </r>
  <r>
    <x v="22"/>
    <x v="76"/>
    <x v="1"/>
    <n v="48268.54"/>
    <n v="48268.54"/>
  </r>
  <r>
    <x v="23"/>
    <x v="78"/>
    <x v="2"/>
    <n v="85493.34"/>
    <n v="85493.34"/>
  </r>
  <r>
    <x v="23"/>
    <x v="77"/>
    <x v="1"/>
    <n v="47582.9"/>
    <n v="47582.9"/>
  </r>
  <r>
    <x v="24"/>
    <x v="79"/>
    <x v="1"/>
    <n v="48706.64"/>
    <n v="48706.64"/>
  </r>
  <r>
    <x v="25"/>
    <x v="80"/>
    <x v="3"/>
    <n v="54620"/>
    <n v="54620"/>
  </r>
  <r>
    <x v="25"/>
    <x v="81"/>
    <x v="3"/>
    <n v="83900.25"/>
    <n v="83900.25"/>
  </r>
  <r>
    <x v="25"/>
    <x v="82"/>
    <x v="3"/>
    <n v="30880"/>
    <n v="30880"/>
  </r>
  <r>
    <x v="25"/>
    <x v="83"/>
    <x v="3"/>
    <n v="50580"/>
    <n v="50580"/>
  </r>
  <r>
    <x v="25"/>
    <x v="148"/>
    <x v="8"/>
    <n v="49003.44"/>
    <n v="49003.44"/>
  </r>
  <r>
    <x v="26"/>
    <x v="86"/>
    <x v="3"/>
    <n v="43500"/>
    <n v="43500"/>
  </r>
  <r>
    <x v="26"/>
    <x v="84"/>
    <x v="2"/>
    <n v="39900"/>
    <n v="39900"/>
  </r>
  <r>
    <x v="26"/>
    <x v="85"/>
    <x v="2"/>
    <n v="53375"/>
    <n v="53375"/>
  </r>
  <r>
    <x v="51"/>
    <x v="213"/>
    <x v="19"/>
    <n v="5360.2"/>
    <n v="5360.2"/>
  </r>
  <r>
    <x v="27"/>
    <x v="150"/>
    <x v="6"/>
    <n v="70468.899999999994"/>
    <n v="70468.899999999994"/>
  </r>
  <r>
    <x v="27"/>
    <x v="87"/>
    <x v="6"/>
    <n v="19149.95"/>
    <n v="19149.95"/>
  </r>
  <r>
    <x v="27"/>
    <x v="149"/>
    <x v="7"/>
    <n v="89619.6"/>
    <n v="89619.6"/>
  </r>
  <r>
    <x v="27"/>
    <x v="174"/>
    <x v="10"/>
    <n v="28817.599999999999"/>
    <n v="28817.599999999999"/>
  </r>
  <r>
    <x v="27"/>
    <x v="175"/>
    <x v="10"/>
    <n v="8500"/>
    <n v="8500"/>
  </r>
  <r>
    <x v="27"/>
    <x v="197"/>
    <x v="0"/>
    <n v="73982.91"/>
    <n v="73982.91"/>
  </r>
  <r>
    <x v="27"/>
    <x v="198"/>
    <x v="0"/>
    <n v="770.14"/>
    <n v="770.14"/>
  </r>
  <r>
    <x v="27"/>
    <x v="88"/>
    <x v="1"/>
    <n v="48706.64"/>
    <n v="48706.64"/>
  </r>
  <r>
    <x v="47"/>
    <x v="199"/>
    <x v="15"/>
    <n v="109460"/>
    <n v="109460"/>
  </r>
  <r>
    <x v="29"/>
    <x v="92"/>
    <x v="3"/>
    <n v="27584.75"/>
    <n v="27584.75"/>
  </r>
  <r>
    <x v="29"/>
    <x v="93"/>
    <x v="3"/>
    <n v="58026.63"/>
    <n v="58026.63"/>
  </r>
  <r>
    <x v="29"/>
    <x v="224"/>
    <x v="23"/>
    <n v="91460"/>
    <n v="91460"/>
  </r>
  <r>
    <x v="30"/>
    <x v="94"/>
    <x v="3"/>
    <n v="9001.51"/>
    <n v="9001.51"/>
  </r>
  <r>
    <x v="30"/>
    <x v="95"/>
    <x v="3"/>
    <n v="5481.89"/>
    <n v="5481.89"/>
  </r>
  <r>
    <x v="30"/>
    <x v="177"/>
    <x v="12"/>
    <n v="185385.64"/>
    <n v="185385.64"/>
  </r>
  <r>
    <x v="30"/>
    <x v="203"/>
    <x v="16"/>
    <n v="185385.74"/>
    <n v="185385.74"/>
  </r>
  <r>
    <x v="30"/>
    <x v="215"/>
    <x v="20"/>
    <n v="11782.33"/>
    <n v="11782.33"/>
  </r>
  <r>
    <x v="31"/>
    <x v="96"/>
    <x v="3"/>
    <n v="37344.720000000001"/>
    <n v="37344.720000000001"/>
  </r>
  <r>
    <x v="31"/>
    <x v="97"/>
    <x v="3"/>
    <n v="88117.04"/>
    <n v="88117.04"/>
  </r>
  <r>
    <x v="31"/>
    <x v="151"/>
    <x v="4"/>
    <n v="82309.86"/>
    <n v="82309.86"/>
  </r>
  <r>
    <x v="31"/>
    <x v="152"/>
    <x v="8"/>
    <n v="60885.5"/>
    <n v="60885.5"/>
  </r>
  <r>
    <x v="32"/>
    <x v="98"/>
    <x v="3"/>
    <n v="35200.370000000003"/>
    <n v="35200.370000000003"/>
  </r>
  <r>
    <x v="32"/>
    <x v="153"/>
    <x v="3"/>
    <n v="58028"/>
    <n v="58028"/>
  </r>
  <r>
    <x v="33"/>
    <x v="101"/>
    <x v="1"/>
    <n v="47582.89"/>
    <n v="47582.89"/>
  </r>
  <r>
    <x v="34"/>
    <x v="102"/>
    <x v="1"/>
    <n v="48706.64"/>
    <n v="48706.64"/>
  </r>
  <r>
    <x v="35"/>
    <x v="103"/>
    <x v="3"/>
    <n v="54620"/>
    <n v="54620"/>
  </r>
  <r>
    <x v="35"/>
    <x v="104"/>
    <x v="3"/>
    <n v="83900.25"/>
    <n v="83900.25"/>
  </r>
  <r>
    <x v="35"/>
    <x v="105"/>
    <x v="3"/>
    <n v="30880.01"/>
    <n v="30880.01"/>
  </r>
  <r>
    <x v="35"/>
    <x v="106"/>
    <x v="3"/>
    <n v="50580"/>
    <n v="50580"/>
  </r>
  <r>
    <x v="36"/>
    <x v="109"/>
    <x v="3"/>
    <n v="43500"/>
    <n v="43500"/>
  </r>
  <r>
    <x v="36"/>
    <x v="107"/>
    <x v="2"/>
    <n v="39900"/>
    <n v="39900"/>
  </r>
  <r>
    <x v="36"/>
    <x v="108"/>
    <x v="2"/>
    <n v="53375"/>
    <n v="53375"/>
  </r>
  <r>
    <x v="37"/>
    <x v="155"/>
    <x v="6"/>
    <n v="70468.899999999994"/>
    <n v="70468.899999999994"/>
  </r>
  <r>
    <x v="37"/>
    <x v="110"/>
    <x v="6"/>
    <n v="19149.939999999999"/>
    <n v="19149.939999999999"/>
  </r>
  <r>
    <x v="37"/>
    <x v="154"/>
    <x v="7"/>
    <n v="89619.6"/>
    <n v="89619.6"/>
  </r>
  <r>
    <x v="37"/>
    <x v="111"/>
    <x v="1"/>
    <n v="48706.64"/>
    <n v="48706.64"/>
  </r>
  <r>
    <x v="39"/>
    <x v="114"/>
    <x v="3"/>
    <n v="27584.73"/>
    <n v="27584.73"/>
  </r>
  <r>
    <x v="39"/>
    <x v="115"/>
    <x v="3"/>
    <n v="58026.64"/>
    <n v="58026.64"/>
  </r>
  <r>
    <x v="40"/>
    <x v="116"/>
    <x v="3"/>
    <n v="37344.730000000003"/>
    <n v="37344.730000000003"/>
  </r>
  <r>
    <x v="40"/>
    <x v="117"/>
    <x v="3"/>
    <n v="88117.03"/>
    <n v="88117.03"/>
  </r>
  <r>
    <x v="40"/>
    <x v="156"/>
    <x v="8"/>
    <n v="60885.5"/>
    <n v="60885.5"/>
  </r>
  <r>
    <x v="41"/>
    <x v="118"/>
    <x v="3"/>
    <n v="35200.35"/>
    <n v="35200.35"/>
  </r>
  <r>
    <x v="41"/>
    <x v="157"/>
    <x v="3"/>
    <n v="58028"/>
    <n v="580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2"/>
  </r>
  <r>
    <x v="7"/>
    <x v="7"/>
    <x v="6"/>
  </r>
  <r>
    <x v="8"/>
    <x v="8"/>
    <x v="7"/>
  </r>
  <r>
    <x v="9"/>
    <x v="9"/>
    <x v="8"/>
  </r>
  <r>
    <x v="10"/>
    <x v="10"/>
    <x v="4"/>
  </r>
  <r>
    <x v="11"/>
    <x v="11"/>
    <x v="4"/>
  </r>
  <r>
    <x v="12"/>
    <x v="12"/>
    <x v="9"/>
  </r>
  <r>
    <x v="13"/>
    <x v="13"/>
    <x v="10"/>
  </r>
  <r>
    <x v="14"/>
    <x v="14"/>
    <x v="11"/>
  </r>
  <r>
    <x v="3"/>
    <x v="15"/>
    <x v="2"/>
  </r>
  <r>
    <x v="3"/>
    <x v="16"/>
    <x v="2"/>
  </r>
  <r>
    <x v="15"/>
    <x v="17"/>
    <x v="11"/>
  </r>
  <r>
    <x v="16"/>
    <x v="18"/>
    <x v="12"/>
  </r>
  <r>
    <x v="17"/>
    <x v="19"/>
    <x v="8"/>
  </r>
  <r>
    <x v="18"/>
    <x v="20"/>
    <x v="12"/>
  </r>
  <r>
    <x v="19"/>
    <x v="21"/>
    <x v="13"/>
  </r>
  <r>
    <x v="19"/>
    <x v="22"/>
    <x v="14"/>
  </r>
  <r>
    <x v="20"/>
    <x v="23"/>
    <x v="0"/>
  </r>
  <r>
    <x v="21"/>
    <x v="24"/>
    <x v="15"/>
  </r>
  <r>
    <x v="22"/>
    <x v="25"/>
    <x v="16"/>
  </r>
  <r>
    <x v="23"/>
    <x v="26"/>
    <x v="11"/>
  </r>
  <r>
    <x v="24"/>
    <x v="27"/>
    <x v="6"/>
  </r>
  <r>
    <x v="25"/>
    <x v="28"/>
    <x v="17"/>
  </r>
  <r>
    <x v="26"/>
    <x v="29"/>
    <x v="18"/>
  </r>
  <r>
    <x v="27"/>
    <x v="30"/>
    <x v="2"/>
  </r>
  <r>
    <x v="28"/>
    <x v="31"/>
    <x v="6"/>
  </r>
  <r>
    <x v="29"/>
    <x v="32"/>
    <x v="19"/>
  </r>
  <r>
    <x v="30"/>
    <x v="33"/>
    <x v="11"/>
  </r>
  <r>
    <x v="31"/>
    <x v="34"/>
    <x v="12"/>
  </r>
  <r>
    <x v="32"/>
    <x v="35"/>
    <x v="11"/>
  </r>
  <r>
    <x v="33"/>
    <x v="36"/>
    <x v="20"/>
  </r>
  <r>
    <x v="34"/>
    <x v="37"/>
    <x v="21"/>
  </r>
  <r>
    <x v="35"/>
    <x v="38"/>
    <x v="22"/>
  </r>
  <r>
    <x v="36"/>
    <x v="39"/>
    <x v="8"/>
  </r>
  <r>
    <x v="37"/>
    <x v="40"/>
    <x v="0"/>
  </r>
  <r>
    <x v="38"/>
    <x v="41"/>
    <x v="6"/>
  </r>
  <r>
    <x v="39"/>
    <x v="42"/>
    <x v="8"/>
  </r>
  <r>
    <x v="40"/>
    <x v="43"/>
    <x v="8"/>
  </r>
  <r>
    <x v="41"/>
    <x v="44"/>
    <x v="8"/>
  </r>
  <r>
    <x v="42"/>
    <x v="45"/>
    <x v="8"/>
  </r>
  <r>
    <x v="43"/>
    <x v="46"/>
    <x v="8"/>
  </r>
  <r>
    <x v="44"/>
    <x v="47"/>
    <x v="8"/>
  </r>
  <r>
    <x v="45"/>
    <x v="48"/>
    <x v="8"/>
  </r>
  <r>
    <x v="46"/>
    <x v="49"/>
    <x v="8"/>
  </r>
  <r>
    <x v="47"/>
    <x v="50"/>
    <x v="8"/>
  </r>
  <r>
    <x v="48"/>
    <x v="51"/>
    <x v="8"/>
  </r>
  <r>
    <x v="49"/>
    <x v="52"/>
    <x v="8"/>
  </r>
  <r>
    <x v="50"/>
    <x v="53"/>
    <x v="8"/>
  </r>
  <r>
    <x v="51"/>
    <x v="54"/>
    <x v="8"/>
  </r>
  <r>
    <x v="52"/>
    <x v="55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70002-E0A4-46A5-AC68-36522F95D4DD}" name="Tabela dinâmica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rowHeaderCaption="Limite de Crédito por Cliente">
  <location ref="A8:C64" firstHeaderRow="1" firstDataRow="1" firstDataCol="3"/>
  <pivotFields count="3">
    <pivotField axis="axisRow" compact="0" outline="0" showAll="0" sortType="ascending" defaultSubtotal="0">
      <items count="56">
        <item x="35"/>
        <item x="30"/>
        <item x="5"/>
        <item m="1" x="55"/>
        <item x="3"/>
        <item x="27"/>
        <item x="26"/>
        <item x="18"/>
        <item x="33"/>
        <item x="29"/>
        <item x="17"/>
        <item x="48"/>
        <item x="32"/>
        <item x="19"/>
        <item x="34"/>
        <item x="11"/>
        <item x="8"/>
        <item x="46"/>
        <item x="44"/>
        <item x="42"/>
        <item x="43"/>
        <item x="45"/>
        <item x="49"/>
        <item x="41"/>
        <item x="40"/>
        <item x="39"/>
        <item x="47"/>
        <item x="52"/>
        <item x="50"/>
        <item x="28"/>
        <item x="15"/>
        <item x="51"/>
        <item x="36"/>
        <item x="9"/>
        <item x="4"/>
        <item m="1" x="54"/>
        <item x="24"/>
        <item x="25"/>
        <item x="1"/>
        <item x="2"/>
        <item x="31"/>
        <item x="21"/>
        <item x="14"/>
        <item x="22"/>
        <item x="37"/>
        <item x="23"/>
        <item x="13"/>
        <item x="12"/>
        <item x="6"/>
        <item x="7"/>
        <item x="10"/>
        <item x="38"/>
        <item x="20"/>
        <item x="0"/>
        <item x="16"/>
        <item m="1" x="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7">
        <item x="34"/>
        <item x="32"/>
        <item x="31"/>
        <item x="24"/>
        <item x="28"/>
        <item x="27"/>
        <item x="23"/>
        <item x="36"/>
        <item x="38"/>
        <item x="3"/>
        <item x="15"/>
        <item x="41"/>
        <item x="20"/>
        <item x="5"/>
        <item x="1"/>
        <item x="2"/>
        <item x="0"/>
        <item x="40"/>
        <item x="25"/>
        <item x="16"/>
        <item x="8"/>
        <item x="12"/>
        <item x="21"/>
        <item x="22"/>
        <item x="33"/>
        <item x="53"/>
        <item x="35"/>
        <item x="45"/>
        <item x="29"/>
        <item x="30"/>
        <item x="7"/>
        <item x="6"/>
        <item x="9"/>
        <item x="46"/>
        <item x="43"/>
        <item x="10"/>
        <item x="50"/>
        <item x="44"/>
        <item x="17"/>
        <item x="11"/>
        <item x="26"/>
        <item x="54"/>
        <item x="47"/>
        <item x="51"/>
        <item x="18"/>
        <item x="39"/>
        <item x="49"/>
        <item x="42"/>
        <item x="19"/>
        <item x="14"/>
        <item x="52"/>
        <item x="4"/>
        <item x="48"/>
        <item x="37"/>
        <item x="55"/>
        <item m="1" x="56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16"/>
        <item x="11"/>
        <item x="6"/>
        <item x="15"/>
        <item x="8"/>
        <item x="21"/>
        <item x="18"/>
        <item x="20"/>
        <item x="12"/>
        <item x="22"/>
        <item x="14"/>
        <item x="9"/>
        <item x="0"/>
        <item x="1"/>
        <item x="3"/>
        <item x="17"/>
        <item x="13"/>
        <item x="2"/>
        <item x="7"/>
        <item x="4"/>
        <item x="5"/>
        <item x="10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56">
    <i>
      <x/>
      <x v="8"/>
      <x v="9"/>
    </i>
    <i>
      <x v="1"/>
      <x v="24"/>
      <x v="1"/>
    </i>
    <i>
      <x v="2"/>
      <x v="13"/>
      <x v="20"/>
    </i>
    <i>
      <x v="4"/>
      <x v="9"/>
      <x v="14"/>
    </i>
    <i r="1">
      <x v="10"/>
      <x v="17"/>
    </i>
    <i r="1">
      <x v="19"/>
      <x v="17"/>
    </i>
    <i>
      <x v="5"/>
      <x v="29"/>
      <x v="17"/>
    </i>
    <i>
      <x v="6"/>
      <x v="28"/>
      <x v="6"/>
    </i>
    <i>
      <x v="7"/>
      <x v="12"/>
      <x v="8"/>
    </i>
    <i>
      <x v="8"/>
      <x v="7"/>
      <x v="7"/>
    </i>
    <i>
      <x v="9"/>
      <x v="1"/>
      <x v="22"/>
    </i>
    <i>
      <x v="10"/>
      <x v="48"/>
      <x v="4"/>
    </i>
    <i>
      <x v="11"/>
      <x v="43"/>
      <x v="4"/>
    </i>
    <i>
      <x v="12"/>
      <x v="26"/>
      <x v="1"/>
    </i>
    <i>
      <x v="13"/>
      <x v="22"/>
      <x v="16"/>
    </i>
    <i r="1">
      <x v="23"/>
      <x v="10"/>
    </i>
    <i>
      <x v="14"/>
      <x v="53"/>
      <x v="5"/>
    </i>
    <i>
      <x v="15"/>
      <x v="39"/>
      <x v="19"/>
    </i>
    <i>
      <x v="16"/>
      <x v="20"/>
      <x v="18"/>
    </i>
    <i>
      <x v="17"/>
      <x v="46"/>
      <x v="4"/>
    </i>
    <i>
      <x v="18"/>
      <x v="42"/>
      <x v="4"/>
    </i>
    <i>
      <x v="19"/>
      <x v="27"/>
      <x v="4"/>
    </i>
    <i>
      <x v="20"/>
      <x v="33"/>
      <x v="4"/>
    </i>
    <i>
      <x v="21"/>
      <x v="52"/>
      <x v="4"/>
    </i>
    <i>
      <x v="22"/>
      <x v="50"/>
      <x v="4"/>
    </i>
    <i>
      <x v="23"/>
      <x v="37"/>
      <x v="4"/>
    </i>
    <i>
      <x v="24"/>
      <x v="34"/>
      <x v="4"/>
    </i>
    <i>
      <x v="25"/>
      <x v="47"/>
      <x v="4"/>
    </i>
    <i>
      <x v="26"/>
      <x v="36"/>
      <x v="4"/>
    </i>
    <i>
      <x v="27"/>
      <x v="54"/>
      <x v="4"/>
    </i>
    <i>
      <x v="28"/>
      <x v="25"/>
      <x v="4"/>
    </i>
    <i>
      <x v="29"/>
      <x v="2"/>
      <x v="2"/>
    </i>
    <i>
      <x v="30"/>
      <x v="38"/>
      <x v="1"/>
    </i>
    <i>
      <x v="31"/>
      <x v="41"/>
      <x v="4"/>
    </i>
    <i>
      <x v="32"/>
      <x v="45"/>
      <x v="4"/>
    </i>
    <i>
      <x v="33"/>
      <x v="32"/>
      <x v="4"/>
    </i>
    <i>
      <x v="34"/>
      <x v="51"/>
      <x v="19"/>
    </i>
    <i>
      <x v="36"/>
      <x v="5"/>
      <x v="2"/>
    </i>
    <i>
      <x v="37"/>
      <x v="4"/>
      <x v="15"/>
    </i>
    <i>
      <x v="38"/>
      <x v="14"/>
      <x v="13"/>
    </i>
    <i>
      <x v="39"/>
      <x v="15"/>
      <x v="17"/>
    </i>
    <i>
      <x v="40"/>
      <x/>
      <x v="8"/>
    </i>
    <i>
      <x v="41"/>
      <x v="3"/>
      <x v="3"/>
    </i>
    <i>
      <x v="42"/>
      <x v="49"/>
      <x v="1"/>
    </i>
    <i>
      <x v="43"/>
      <x v="18"/>
      <x/>
    </i>
    <i>
      <x v="44"/>
      <x v="17"/>
      <x v="12"/>
    </i>
    <i>
      <x v="45"/>
      <x v="40"/>
      <x v="1"/>
    </i>
    <i>
      <x v="46"/>
      <x v="56"/>
      <x v="21"/>
    </i>
    <i>
      <x v="47"/>
      <x v="21"/>
      <x v="11"/>
    </i>
    <i>
      <x v="48"/>
      <x v="31"/>
      <x v="17"/>
    </i>
    <i>
      <x v="49"/>
      <x v="30"/>
      <x v="2"/>
    </i>
    <i>
      <x v="50"/>
      <x v="35"/>
      <x v="19"/>
    </i>
    <i>
      <x v="51"/>
      <x v="11"/>
      <x v="2"/>
    </i>
    <i>
      <x v="52"/>
      <x v="6"/>
      <x v="12"/>
    </i>
    <i>
      <x v="53"/>
      <x v="16"/>
      <x v="12"/>
    </i>
    <i>
      <x v="54"/>
      <x v="44"/>
      <x v="8"/>
    </i>
  </rowItems>
  <colItems count="1">
    <i/>
  </colItems>
  <formats count="136">
    <format dxfId="1230">
      <pivotArea dataOnly="0" labelOnly="1" fieldPosition="0">
        <references count="3">
          <reference field="0" count="1" selected="0">
            <x v="0"/>
          </reference>
          <reference field="1" count="1" selected="0">
            <x v="8"/>
          </reference>
          <reference field="2" count="1">
            <x v="9"/>
          </reference>
        </references>
      </pivotArea>
    </format>
    <format dxfId="1229">
      <pivotArea type="all" dataOnly="0" outline="0" fieldPosition="0"/>
    </format>
    <format dxfId="1228">
      <pivotArea field="0" type="button" dataOnly="0" labelOnly="1" outline="0" axis="axisRow" fieldPosition="0"/>
    </format>
    <format dxfId="1227">
      <pivotArea dataOnly="0" labelOnly="1" fieldPosition="0">
        <references count="1">
          <reference field="0" count="50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50"/>
            <x v="51"/>
            <x v="52"/>
          </reference>
        </references>
      </pivotArea>
    </format>
    <format dxfId="1226">
      <pivotArea dataOnly="0" labelOnly="1" fieldPosition="0">
        <references count="1">
          <reference field="0" count="3">
            <x v="53"/>
            <x v="54"/>
            <x v="55"/>
          </reference>
        </references>
      </pivotArea>
    </format>
    <format dxfId="1225">
      <pivotArea dataOnly="0" labelOnly="1" grandRow="1" outline="0" fieldPosition="0"/>
    </format>
    <format dxfId="1224">
      <pivotArea dataOnly="0" labelOnly="1" fieldPosition="0">
        <references count="2">
          <reference field="0" count="1" selected="0">
            <x v="0"/>
          </reference>
          <reference field="1" count="1">
            <x v="8"/>
          </reference>
        </references>
      </pivotArea>
    </format>
    <format dxfId="1223">
      <pivotArea dataOnly="0" labelOnly="1" fieldPosition="0">
        <references count="2">
          <reference field="0" count="1" selected="0">
            <x v="1"/>
          </reference>
          <reference field="1" count="1">
            <x v="24"/>
          </reference>
        </references>
      </pivotArea>
    </format>
    <format dxfId="1222">
      <pivotArea dataOnly="0" labelOnly="1" fieldPosition="0">
        <references count="2">
          <reference field="0" count="1" selected="0">
            <x v="3"/>
          </reference>
          <reference field="1" count="1">
            <x v="13"/>
          </reference>
        </references>
      </pivotArea>
    </format>
    <format dxfId="1221">
      <pivotArea dataOnly="0" labelOnly="1" fieldPosition="0">
        <references count="2">
          <reference field="0" count="1" selected="0">
            <x v="4"/>
          </reference>
          <reference field="1" count="2">
            <x v="9"/>
            <x v="10"/>
          </reference>
        </references>
      </pivotArea>
    </format>
    <format dxfId="1220">
      <pivotArea dataOnly="0" labelOnly="1" fieldPosition="0">
        <references count="2">
          <reference field="0" count="1" selected="0">
            <x v="5"/>
          </reference>
          <reference field="1" count="1">
            <x v="29"/>
          </reference>
        </references>
      </pivotArea>
    </format>
    <format dxfId="1219">
      <pivotArea dataOnly="0" labelOnly="1" fieldPosition="0">
        <references count="2">
          <reference field="0" count="1" selected="0">
            <x v="6"/>
          </reference>
          <reference field="1" count="1">
            <x v="28"/>
          </reference>
        </references>
      </pivotArea>
    </format>
    <format dxfId="1218">
      <pivotArea dataOnly="0" labelOnly="1" fieldPosition="0">
        <references count="2">
          <reference field="0" count="1" selected="0">
            <x v="7"/>
          </reference>
          <reference field="1" count="1">
            <x v="12"/>
          </reference>
        </references>
      </pivotArea>
    </format>
    <format dxfId="1217">
      <pivotArea dataOnly="0" labelOnly="1" fieldPosition="0">
        <references count="2">
          <reference field="0" count="1" selected="0">
            <x v="8"/>
          </reference>
          <reference field="1" count="1">
            <x v="7"/>
          </reference>
        </references>
      </pivotArea>
    </format>
    <format dxfId="1216">
      <pivotArea dataOnly="0" labelOnly="1" fieldPosition="0">
        <references count="2">
          <reference field="0" count="1" selected="0">
            <x v="9"/>
          </reference>
          <reference field="1" count="1">
            <x v="1"/>
          </reference>
        </references>
      </pivotArea>
    </format>
    <format dxfId="1215">
      <pivotArea dataOnly="0" labelOnly="1" fieldPosition="0">
        <references count="2">
          <reference field="0" count="1" selected="0">
            <x v="10"/>
          </reference>
          <reference field="1" count="1">
            <x v="48"/>
          </reference>
        </references>
      </pivotArea>
    </format>
    <format dxfId="1214">
      <pivotArea dataOnly="0" labelOnly="1" fieldPosition="0">
        <references count="2">
          <reference field="0" count="1" selected="0">
            <x v="11"/>
          </reference>
          <reference field="1" count="1">
            <x v="43"/>
          </reference>
        </references>
      </pivotArea>
    </format>
    <format dxfId="1213">
      <pivotArea dataOnly="0" labelOnly="1" fieldPosition="0">
        <references count="2">
          <reference field="0" count="1" selected="0">
            <x v="12"/>
          </reference>
          <reference field="1" count="1">
            <x v="26"/>
          </reference>
        </references>
      </pivotArea>
    </format>
    <format dxfId="1212">
      <pivotArea dataOnly="0" labelOnly="1" fieldPosition="0">
        <references count="2">
          <reference field="0" count="1" selected="0">
            <x v="13"/>
          </reference>
          <reference field="1" count="2">
            <x v="22"/>
            <x v="23"/>
          </reference>
        </references>
      </pivotArea>
    </format>
    <format dxfId="1211">
      <pivotArea dataOnly="0" labelOnly="1" fieldPosition="0">
        <references count="2">
          <reference field="0" count="1" selected="0">
            <x v="14"/>
          </reference>
          <reference field="1" count="1">
            <x v="53"/>
          </reference>
        </references>
      </pivotArea>
    </format>
    <format dxfId="1210">
      <pivotArea dataOnly="0" labelOnly="1" fieldPosition="0">
        <references count="2">
          <reference field="0" count="1" selected="0">
            <x v="15"/>
          </reference>
          <reference field="1" count="1">
            <x v="39"/>
          </reference>
        </references>
      </pivotArea>
    </format>
    <format dxfId="1209">
      <pivotArea dataOnly="0" labelOnly="1" fieldPosition="0">
        <references count="2">
          <reference field="0" count="1" selected="0">
            <x v="16"/>
          </reference>
          <reference field="1" count="1">
            <x v="20"/>
          </reference>
        </references>
      </pivotArea>
    </format>
    <format dxfId="1208">
      <pivotArea dataOnly="0" labelOnly="1" fieldPosition="0">
        <references count="2">
          <reference field="0" count="1" selected="0">
            <x v="17"/>
          </reference>
          <reference field="1" count="1">
            <x v="46"/>
          </reference>
        </references>
      </pivotArea>
    </format>
    <format dxfId="1207">
      <pivotArea dataOnly="0" labelOnly="1" fieldPosition="0">
        <references count="2">
          <reference field="0" count="1" selected="0">
            <x v="18"/>
          </reference>
          <reference field="1" count="1">
            <x v="42"/>
          </reference>
        </references>
      </pivotArea>
    </format>
    <format dxfId="1206">
      <pivotArea dataOnly="0" labelOnly="1" fieldPosition="0">
        <references count="2">
          <reference field="0" count="1" selected="0">
            <x v="19"/>
          </reference>
          <reference field="1" count="1">
            <x v="27"/>
          </reference>
        </references>
      </pivotArea>
    </format>
    <format dxfId="1205">
      <pivotArea dataOnly="0" labelOnly="1" fieldPosition="0">
        <references count="2">
          <reference field="0" count="1" selected="0">
            <x v="20"/>
          </reference>
          <reference field="1" count="1">
            <x v="33"/>
          </reference>
        </references>
      </pivotArea>
    </format>
    <format dxfId="1204">
      <pivotArea dataOnly="0" labelOnly="1" fieldPosition="0">
        <references count="2">
          <reference field="0" count="1" selected="0">
            <x v="21"/>
          </reference>
          <reference field="1" count="1">
            <x v="52"/>
          </reference>
        </references>
      </pivotArea>
    </format>
    <format dxfId="1203">
      <pivotArea dataOnly="0" labelOnly="1" fieldPosition="0">
        <references count="2">
          <reference field="0" count="1" selected="0">
            <x v="22"/>
          </reference>
          <reference field="1" count="1">
            <x v="50"/>
          </reference>
        </references>
      </pivotArea>
    </format>
    <format dxfId="1202">
      <pivotArea dataOnly="0" labelOnly="1" fieldPosition="0">
        <references count="2">
          <reference field="0" count="1" selected="0">
            <x v="23"/>
          </reference>
          <reference field="1" count="1">
            <x v="37"/>
          </reference>
        </references>
      </pivotArea>
    </format>
    <format dxfId="1201">
      <pivotArea dataOnly="0" labelOnly="1" fieldPosition="0">
        <references count="2">
          <reference field="0" count="1" selected="0">
            <x v="24"/>
          </reference>
          <reference field="1" count="1">
            <x v="34"/>
          </reference>
        </references>
      </pivotArea>
    </format>
    <format dxfId="1200">
      <pivotArea dataOnly="0" labelOnly="1" fieldPosition="0">
        <references count="2">
          <reference field="0" count="1" selected="0">
            <x v="25"/>
          </reference>
          <reference field="1" count="1">
            <x v="47"/>
          </reference>
        </references>
      </pivotArea>
    </format>
    <format dxfId="1199">
      <pivotArea dataOnly="0" labelOnly="1" fieldPosition="0">
        <references count="2">
          <reference field="0" count="1" selected="0">
            <x v="26"/>
          </reference>
          <reference field="1" count="1">
            <x v="36"/>
          </reference>
        </references>
      </pivotArea>
    </format>
    <format dxfId="1198">
      <pivotArea dataOnly="0" labelOnly="1" fieldPosition="0">
        <references count="2">
          <reference field="0" count="1" selected="0">
            <x v="27"/>
          </reference>
          <reference field="1" count="1">
            <x v="54"/>
          </reference>
        </references>
      </pivotArea>
    </format>
    <format dxfId="1197">
      <pivotArea dataOnly="0" labelOnly="1" fieldPosition="0">
        <references count="2">
          <reference field="0" count="1" selected="0">
            <x v="28"/>
          </reference>
          <reference field="1" count="1">
            <x v="25"/>
          </reference>
        </references>
      </pivotArea>
    </format>
    <format dxfId="1196">
      <pivotArea dataOnly="0" labelOnly="1" fieldPosition="0">
        <references count="2">
          <reference field="0" count="1" selected="0">
            <x v="29"/>
          </reference>
          <reference field="1" count="1">
            <x v="2"/>
          </reference>
        </references>
      </pivotArea>
    </format>
    <format dxfId="1195">
      <pivotArea dataOnly="0" labelOnly="1" fieldPosition="0">
        <references count="2">
          <reference field="0" count="1" selected="0">
            <x v="30"/>
          </reference>
          <reference field="1" count="1">
            <x v="38"/>
          </reference>
        </references>
      </pivotArea>
    </format>
    <format dxfId="1194">
      <pivotArea dataOnly="0" labelOnly="1" fieldPosition="0">
        <references count="2">
          <reference field="0" count="1" selected="0">
            <x v="31"/>
          </reference>
          <reference field="1" count="1">
            <x v="41"/>
          </reference>
        </references>
      </pivotArea>
    </format>
    <format dxfId="1193">
      <pivotArea dataOnly="0" labelOnly="1" fieldPosition="0">
        <references count="2">
          <reference field="0" count="1" selected="0">
            <x v="32"/>
          </reference>
          <reference field="1" count="1">
            <x v="45"/>
          </reference>
        </references>
      </pivotArea>
    </format>
    <format dxfId="1192">
      <pivotArea dataOnly="0" labelOnly="1" fieldPosition="0">
        <references count="2">
          <reference field="0" count="1" selected="0">
            <x v="33"/>
          </reference>
          <reference field="1" count="1">
            <x v="32"/>
          </reference>
        </references>
      </pivotArea>
    </format>
    <format dxfId="1191">
      <pivotArea dataOnly="0" labelOnly="1" fieldPosition="0">
        <references count="2">
          <reference field="0" count="1" selected="0">
            <x v="35"/>
          </reference>
          <reference field="1" count="1">
            <x v="51"/>
          </reference>
        </references>
      </pivotArea>
    </format>
    <format dxfId="1190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1189">
      <pivotArea dataOnly="0" labelOnly="1" fieldPosition="0">
        <references count="2">
          <reference field="0" count="1" selected="0">
            <x v="37"/>
          </reference>
          <reference field="1" count="1">
            <x v="4"/>
          </reference>
        </references>
      </pivotArea>
    </format>
    <format dxfId="1188">
      <pivotArea dataOnly="0" labelOnly="1" fieldPosition="0">
        <references count="2">
          <reference field="0" count="1" selected="0">
            <x v="38"/>
          </reference>
          <reference field="1" count="1">
            <x v="14"/>
          </reference>
        </references>
      </pivotArea>
    </format>
    <format dxfId="1187">
      <pivotArea dataOnly="0" labelOnly="1" fieldPosition="0">
        <references count="2">
          <reference field="0" count="1" selected="0">
            <x v="39"/>
          </reference>
          <reference field="1" count="1">
            <x v="15"/>
          </reference>
        </references>
      </pivotArea>
    </format>
    <format dxfId="1186">
      <pivotArea dataOnly="0" labelOnly="1" fieldPosition="0">
        <references count="2">
          <reference field="0" count="1" selected="0">
            <x v="40"/>
          </reference>
          <reference field="1" count="1">
            <x v="0"/>
          </reference>
        </references>
      </pivotArea>
    </format>
    <format dxfId="1185">
      <pivotArea dataOnly="0" labelOnly="1" fieldPosition="0">
        <references count="2">
          <reference field="0" count="1" selected="0">
            <x v="41"/>
          </reference>
          <reference field="1" count="1">
            <x v="3"/>
          </reference>
        </references>
      </pivotArea>
    </format>
    <format dxfId="1184">
      <pivotArea dataOnly="0" labelOnly="1" fieldPosition="0">
        <references count="2">
          <reference field="0" count="1" selected="0">
            <x v="42"/>
          </reference>
          <reference field="1" count="1">
            <x v="49"/>
          </reference>
        </references>
      </pivotArea>
    </format>
    <format dxfId="1183">
      <pivotArea dataOnly="0" labelOnly="1" fieldPosition="0">
        <references count="2">
          <reference field="0" count="1" selected="0">
            <x v="43"/>
          </reference>
          <reference field="1" count="1">
            <x v="18"/>
          </reference>
        </references>
      </pivotArea>
    </format>
    <format dxfId="1182">
      <pivotArea dataOnly="0" labelOnly="1" fieldPosition="0">
        <references count="2">
          <reference field="0" count="1" selected="0">
            <x v="44"/>
          </reference>
          <reference field="1" count="1">
            <x v="17"/>
          </reference>
        </references>
      </pivotArea>
    </format>
    <format dxfId="1181">
      <pivotArea dataOnly="0" labelOnly="1" fieldPosition="0">
        <references count="2">
          <reference field="0" count="1" selected="0">
            <x v="45"/>
          </reference>
          <reference field="1" count="1">
            <x v="40"/>
          </reference>
        </references>
      </pivotArea>
    </format>
    <format dxfId="1180">
      <pivotArea dataOnly="0" labelOnly="1" fieldPosition="0">
        <references count="2">
          <reference field="0" count="1" selected="0">
            <x v="46"/>
          </reference>
          <reference field="1" count="1">
            <x v="55"/>
          </reference>
        </references>
      </pivotArea>
    </format>
    <format dxfId="1179">
      <pivotArea dataOnly="0" labelOnly="1" fieldPosition="0">
        <references count="2">
          <reference field="0" count="1" selected="0">
            <x v="47"/>
          </reference>
          <reference field="1" count="1">
            <x v="21"/>
          </reference>
        </references>
      </pivotArea>
    </format>
    <format dxfId="1178">
      <pivotArea dataOnly="0" labelOnly="1" fieldPosition="0">
        <references count="2">
          <reference field="0" count="1" selected="0">
            <x v="48"/>
          </reference>
          <reference field="1" count="1">
            <x v="31"/>
          </reference>
        </references>
      </pivotArea>
    </format>
    <format dxfId="1177">
      <pivotArea dataOnly="0" labelOnly="1" fieldPosition="0">
        <references count="2">
          <reference field="0" count="1" selected="0">
            <x v="50"/>
          </reference>
          <reference field="1" count="1">
            <x v="35"/>
          </reference>
        </references>
      </pivotArea>
    </format>
    <format dxfId="1176">
      <pivotArea dataOnly="0" labelOnly="1" fieldPosition="0">
        <references count="2">
          <reference field="0" count="1" selected="0">
            <x v="51"/>
          </reference>
          <reference field="1" count="1">
            <x v="11"/>
          </reference>
        </references>
      </pivotArea>
    </format>
    <format dxfId="1175">
      <pivotArea dataOnly="0" labelOnly="1" fieldPosition="0">
        <references count="2">
          <reference field="0" count="1" selected="0">
            <x v="52"/>
          </reference>
          <reference field="1" count="1">
            <x v="6"/>
          </reference>
        </references>
      </pivotArea>
    </format>
    <format dxfId="1174">
      <pivotArea dataOnly="0" labelOnly="1" fieldPosition="0">
        <references count="2">
          <reference field="0" count="1" selected="0">
            <x v="53"/>
          </reference>
          <reference field="1" count="1">
            <x v="16"/>
          </reference>
        </references>
      </pivotArea>
    </format>
    <format dxfId="1173">
      <pivotArea dataOnly="0" labelOnly="1" fieldPosition="0">
        <references count="2">
          <reference field="0" count="1" selected="0">
            <x v="54"/>
          </reference>
          <reference field="1" count="1">
            <x v="44"/>
          </reference>
        </references>
      </pivotArea>
    </format>
    <format dxfId="1172">
      <pivotArea dataOnly="0" labelOnly="1" fieldPosition="0">
        <references count="2">
          <reference field="0" count="1" selected="0">
            <x v="55"/>
          </reference>
          <reference field="1" count="2">
            <x v="19"/>
            <x v="30"/>
          </reference>
        </references>
      </pivotArea>
    </format>
    <format dxfId="1171">
      <pivotArea dataOnly="0" labelOnly="1" fieldPosition="0">
        <references count="3">
          <reference field="0" count="1" selected="0">
            <x v="0"/>
          </reference>
          <reference field="1" count="1" selected="0">
            <x v="8"/>
          </reference>
          <reference field="2" count="1">
            <x v="9"/>
          </reference>
        </references>
      </pivotArea>
    </format>
    <format dxfId="1170">
      <pivotArea dataOnly="0" labelOnly="1" fieldPosition="0">
        <references count="3">
          <reference field="0" count="1" selected="0">
            <x v="1"/>
          </reference>
          <reference field="1" count="1" selected="0">
            <x v="24"/>
          </reference>
          <reference field="2" count="1">
            <x v="1"/>
          </reference>
        </references>
      </pivotArea>
    </format>
    <format dxfId="1169">
      <pivotArea dataOnly="0" labelOnly="1" fieldPosition="0">
        <references count="3">
          <reference field="0" count="1" selected="0">
            <x v="3"/>
          </reference>
          <reference field="1" count="1" selected="0">
            <x v="13"/>
          </reference>
          <reference field="2" count="1">
            <x v="18"/>
          </reference>
        </references>
      </pivotArea>
    </format>
    <format dxfId="1168">
      <pivotArea dataOnly="0" labelOnly="1" fieldPosition="0">
        <references count="3">
          <reference field="0" count="1" selected="0">
            <x v="4"/>
          </reference>
          <reference field="1" count="1" selected="0">
            <x v="9"/>
          </reference>
          <reference field="2" count="1">
            <x v="14"/>
          </reference>
        </references>
      </pivotArea>
    </format>
    <format dxfId="1167">
      <pivotArea dataOnly="0" labelOnly="1" fieldPosition="0">
        <references count="3">
          <reference field="0" count="1" selected="0">
            <x v="4"/>
          </reference>
          <reference field="1" count="1" selected="0">
            <x v="10"/>
          </reference>
          <reference field="2" count="1">
            <x v="14"/>
          </reference>
        </references>
      </pivotArea>
    </format>
    <format dxfId="1166">
      <pivotArea dataOnly="0" labelOnly="1" fieldPosition="0">
        <references count="3">
          <reference field="0" count="1" selected="0">
            <x v="5"/>
          </reference>
          <reference field="1" count="1" selected="0">
            <x v="29"/>
          </reference>
          <reference field="2" count="1">
            <x v="17"/>
          </reference>
        </references>
      </pivotArea>
    </format>
    <format dxfId="1165">
      <pivotArea dataOnly="0" labelOnly="1" fieldPosition="0">
        <references count="3">
          <reference field="0" count="1" selected="0">
            <x v="6"/>
          </reference>
          <reference field="1" count="1" selected="0">
            <x v="28"/>
          </reference>
          <reference field="2" count="1">
            <x v="6"/>
          </reference>
        </references>
      </pivotArea>
    </format>
    <format dxfId="1164">
      <pivotArea dataOnly="0" labelOnly="1" fieldPosition="0">
        <references count="3">
          <reference field="0" count="1" selected="0">
            <x v="7"/>
          </reference>
          <reference field="1" count="1" selected="0">
            <x v="12"/>
          </reference>
          <reference field="2" count="1">
            <x v="8"/>
          </reference>
        </references>
      </pivotArea>
    </format>
    <format dxfId="1163">
      <pivotArea dataOnly="0" labelOnly="1" fieldPosition="0">
        <references count="3">
          <reference field="0" count="1" selected="0">
            <x v="8"/>
          </reference>
          <reference field="1" count="1" selected="0">
            <x v="7"/>
          </reference>
          <reference field="2" count="1">
            <x v="7"/>
          </reference>
        </references>
      </pivotArea>
    </format>
    <format dxfId="1162">
      <pivotArea dataOnly="0" labelOnly="1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2" count="1">
            <x v="0"/>
          </reference>
        </references>
      </pivotArea>
    </format>
    <format dxfId="1161">
      <pivotArea dataOnly="0" labelOnly="1" fieldPosition="0">
        <references count="3">
          <reference field="0" count="1" selected="0">
            <x v="10"/>
          </reference>
          <reference field="1" count="1" selected="0">
            <x v="48"/>
          </reference>
          <reference field="2" count="1">
            <x v="4"/>
          </reference>
        </references>
      </pivotArea>
    </format>
    <format dxfId="1160">
      <pivotArea dataOnly="0" labelOnly="1" fieldPosition="0">
        <references count="3">
          <reference field="0" count="1" selected="0">
            <x v="11"/>
          </reference>
          <reference field="1" count="1" selected="0">
            <x v="43"/>
          </reference>
          <reference field="2" count="1">
            <x v="4"/>
          </reference>
        </references>
      </pivotArea>
    </format>
    <format dxfId="1159">
      <pivotArea dataOnly="0" labelOnly="1" fieldPosition="0">
        <references count="3">
          <reference field="0" count="1" selected="0">
            <x v="12"/>
          </reference>
          <reference field="1" count="1" selected="0">
            <x v="26"/>
          </reference>
          <reference field="2" count="1">
            <x v="1"/>
          </reference>
        </references>
      </pivotArea>
    </format>
    <format dxfId="1158">
      <pivotArea dataOnly="0" labelOnly="1" fieldPosition="0">
        <references count="3">
          <reference field="0" count="1" selected="0">
            <x v="13"/>
          </reference>
          <reference field="1" count="1" selected="0">
            <x v="22"/>
          </reference>
          <reference field="2" count="1">
            <x v="16"/>
          </reference>
        </references>
      </pivotArea>
    </format>
    <format dxfId="1157">
      <pivotArea dataOnly="0" labelOnly="1" fieldPosition="0">
        <references count="3">
          <reference field="0" count="1" selected="0">
            <x v="13"/>
          </reference>
          <reference field="1" count="1" selected="0">
            <x v="23"/>
          </reference>
          <reference field="2" count="1">
            <x v="10"/>
          </reference>
        </references>
      </pivotArea>
    </format>
    <format dxfId="1156">
      <pivotArea dataOnly="0" labelOnly="1" fieldPosition="0">
        <references count="3">
          <reference field="0" count="1" selected="0">
            <x v="14"/>
          </reference>
          <reference field="1" count="1" selected="0">
            <x v="53"/>
          </reference>
          <reference field="2" count="1">
            <x v="5"/>
          </reference>
        </references>
      </pivotArea>
    </format>
    <format dxfId="1155">
      <pivotArea dataOnly="0" labelOnly="1" fieldPosition="0">
        <references count="3">
          <reference field="0" count="1" selected="0">
            <x v="15"/>
          </reference>
          <reference field="1" count="1" selected="0">
            <x v="39"/>
          </reference>
          <reference field="2" count="1">
            <x v="18"/>
          </reference>
        </references>
      </pivotArea>
    </format>
    <format dxfId="1154">
      <pivotArea dataOnly="0" labelOnly="1" fieldPosition="0">
        <references count="3">
          <reference field="0" count="1" selected="0">
            <x v="16"/>
          </reference>
          <reference field="1" count="1" selected="0">
            <x v="20"/>
          </reference>
          <reference field="2" count="1">
            <x v="18"/>
          </reference>
        </references>
      </pivotArea>
    </format>
    <format dxfId="1153">
      <pivotArea dataOnly="0" labelOnly="1" fieldPosition="0">
        <references count="3">
          <reference field="0" count="1" selected="0">
            <x v="17"/>
          </reference>
          <reference field="1" count="1" selected="0">
            <x v="46"/>
          </reference>
          <reference field="2" count="1">
            <x v="4"/>
          </reference>
        </references>
      </pivotArea>
    </format>
    <format dxfId="1152">
      <pivotArea dataOnly="0" labelOnly="1" fieldPosition="0">
        <references count="3">
          <reference field="0" count="1" selected="0">
            <x v="18"/>
          </reference>
          <reference field="1" count="1" selected="0">
            <x v="42"/>
          </reference>
          <reference field="2" count="1">
            <x v="4"/>
          </reference>
        </references>
      </pivotArea>
    </format>
    <format dxfId="1151">
      <pivotArea dataOnly="0" labelOnly="1" fieldPosition="0">
        <references count="3">
          <reference field="0" count="1" selected="0">
            <x v="19"/>
          </reference>
          <reference field="1" count="1" selected="0">
            <x v="27"/>
          </reference>
          <reference field="2" count="1">
            <x v="4"/>
          </reference>
        </references>
      </pivotArea>
    </format>
    <format dxfId="1150">
      <pivotArea dataOnly="0" labelOnly="1" fieldPosition="0">
        <references count="3">
          <reference field="0" count="1" selected="0">
            <x v="20"/>
          </reference>
          <reference field="1" count="1" selected="0">
            <x v="33"/>
          </reference>
          <reference field="2" count="1">
            <x v="4"/>
          </reference>
        </references>
      </pivotArea>
    </format>
    <format dxfId="1149">
      <pivotArea dataOnly="0" labelOnly="1" fieldPosition="0">
        <references count="3">
          <reference field="0" count="1" selected="0">
            <x v="21"/>
          </reference>
          <reference field="1" count="1" selected="0">
            <x v="52"/>
          </reference>
          <reference field="2" count="1">
            <x v="4"/>
          </reference>
        </references>
      </pivotArea>
    </format>
    <format dxfId="1148">
      <pivotArea dataOnly="0" labelOnly="1" fieldPosition="0">
        <references count="3">
          <reference field="0" count="1" selected="0">
            <x v="22"/>
          </reference>
          <reference field="1" count="1" selected="0">
            <x v="50"/>
          </reference>
          <reference field="2" count="1">
            <x v="4"/>
          </reference>
        </references>
      </pivotArea>
    </format>
    <format dxfId="1147">
      <pivotArea dataOnly="0" labelOnly="1" fieldPosition="0">
        <references count="3">
          <reference field="0" count="1" selected="0">
            <x v="23"/>
          </reference>
          <reference field="1" count="1" selected="0">
            <x v="37"/>
          </reference>
          <reference field="2" count="1">
            <x v="4"/>
          </reference>
        </references>
      </pivotArea>
    </format>
    <format dxfId="1146">
      <pivotArea dataOnly="0" labelOnly="1" fieldPosition="0">
        <references count="3">
          <reference field="0" count="1" selected="0">
            <x v="24"/>
          </reference>
          <reference field="1" count="1" selected="0">
            <x v="34"/>
          </reference>
          <reference field="2" count="1">
            <x v="4"/>
          </reference>
        </references>
      </pivotArea>
    </format>
    <format dxfId="1145">
      <pivotArea dataOnly="0" labelOnly="1" fieldPosition="0">
        <references count="3">
          <reference field="0" count="1" selected="0">
            <x v="25"/>
          </reference>
          <reference field="1" count="1" selected="0">
            <x v="47"/>
          </reference>
          <reference field="2" count="1">
            <x v="4"/>
          </reference>
        </references>
      </pivotArea>
    </format>
    <format dxfId="1144">
      <pivotArea dataOnly="0" labelOnly="1" fieldPosition="0">
        <references count="3">
          <reference field="0" count="1" selected="0">
            <x v="26"/>
          </reference>
          <reference field="1" count="1" selected="0">
            <x v="36"/>
          </reference>
          <reference field="2" count="1">
            <x v="4"/>
          </reference>
        </references>
      </pivotArea>
    </format>
    <format dxfId="1143">
      <pivotArea dataOnly="0" labelOnly="1" fieldPosition="0">
        <references count="3">
          <reference field="0" count="1" selected="0">
            <x v="27"/>
          </reference>
          <reference field="1" count="1" selected="0">
            <x v="54"/>
          </reference>
          <reference field="2" count="1">
            <x v="4"/>
          </reference>
        </references>
      </pivotArea>
    </format>
    <format dxfId="1142">
      <pivotArea dataOnly="0" labelOnly="1" fieldPosition="0">
        <references count="3">
          <reference field="0" count="1" selected="0">
            <x v="28"/>
          </reference>
          <reference field="1" count="1" selected="0">
            <x v="25"/>
          </reference>
          <reference field="2" count="1">
            <x v="4"/>
          </reference>
        </references>
      </pivotArea>
    </format>
    <format dxfId="1141">
      <pivotArea dataOnly="0" labelOnly="1" fieldPosition="0">
        <references count="3">
          <reference field="0" count="1" selected="0">
            <x v="29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1140">
      <pivotArea dataOnly="0" labelOnly="1" fieldPosition="0">
        <references count="3">
          <reference field="0" count="1" selected="0">
            <x v="30"/>
          </reference>
          <reference field="1" count="1" selected="0">
            <x v="38"/>
          </reference>
          <reference field="2" count="1">
            <x v="1"/>
          </reference>
        </references>
      </pivotArea>
    </format>
    <format dxfId="1139">
      <pivotArea dataOnly="0" labelOnly="1" fieldPosition="0">
        <references count="3">
          <reference field="0" count="1" selected="0">
            <x v="31"/>
          </reference>
          <reference field="1" count="1" selected="0">
            <x v="41"/>
          </reference>
          <reference field="2" count="1">
            <x v="4"/>
          </reference>
        </references>
      </pivotArea>
    </format>
    <format dxfId="1138">
      <pivotArea dataOnly="0" labelOnly="1" fieldPosition="0">
        <references count="3">
          <reference field="0" count="1" selected="0">
            <x v="32"/>
          </reference>
          <reference field="1" count="1" selected="0">
            <x v="45"/>
          </reference>
          <reference field="2" count="1">
            <x v="4"/>
          </reference>
        </references>
      </pivotArea>
    </format>
    <format dxfId="1137">
      <pivotArea dataOnly="0" labelOnly="1" fieldPosition="0">
        <references count="3">
          <reference field="0" count="1" selected="0">
            <x v="33"/>
          </reference>
          <reference field="1" count="1" selected="0">
            <x v="32"/>
          </reference>
          <reference field="2" count="1">
            <x v="4"/>
          </reference>
        </references>
      </pivotArea>
    </format>
    <format dxfId="1136">
      <pivotArea dataOnly="0" labelOnly="1" fieldPosition="0">
        <references count="3">
          <reference field="0" count="1" selected="0">
            <x v="35"/>
          </reference>
          <reference field="1" count="1" selected="0">
            <x v="51"/>
          </reference>
          <reference field="2" count="1">
            <x v="18"/>
          </reference>
        </references>
      </pivotArea>
    </format>
    <format dxfId="1135">
      <pivotArea dataOnly="0" labelOnly="1" fieldPosition="0">
        <references count="3">
          <reference field="0" count="1" selected="0">
            <x v="36"/>
          </reference>
          <reference field="1" count="1" selected="0">
            <x v="5"/>
          </reference>
          <reference field="2" count="1">
            <x v="2"/>
          </reference>
        </references>
      </pivotArea>
    </format>
    <format dxfId="1134">
      <pivotArea dataOnly="0" labelOnly="1" fieldPosition="0">
        <references count="3">
          <reference field="0" count="1" selected="0">
            <x v="37"/>
          </reference>
          <reference field="1" count="1" selected="0">
            <x v="4"/>
          </reference>
          <reference field="2" count="1">
            <x v="15"/>
          </reference>
        </references>
      </pivotArea>
    </format>
    <format dxfId="1133">
      <pivotArea dataOnly="0" labelOnly="1" fieldPosition="0">
        <references count="3">
          <reference field="0" count="1" selected="0">
            <x v="38"/>
          </reference>
          <reference field="1" count="1" selected="0">
            <x v="14"/>
          </reference>
          <reference field="2" count="1">
            <x v="13"/>
          </reference>
        </references>
      </pivotArea>
    </format>
    <format dxfId="1132">
      <pivotArea dataOnly="0" labelOnly="1" fieldPosition="0">
        <references count="3">
          <reference field="0" count="1" selected="0">
            <x v="39"/>
          </reference>
          <reference field="1" count="1" selected="0">
            <x v="15"/>
          </reference>
          <reference field="2" count="1">
            <x v="18"/>
          </reference>
        </references>
      </pivotArea>
    </format>
    <format dxfId="1131">
      <pivotArea dataOnly="0" labelOnly="1" fieldPosition="0">
        <references count="3">
          <reference field="0" count="1" selected="0">
            <x v="40"/>
          </reference>
          <reference field="1" count="1" selected="0">
            <x v="0"/>
          </reference>
          <reference field="2" count="1">
            <x v="8"/>
          </reference>
        </references>
      </pivotArea>
    </format>
    <format dxfId="1130">
      <pivotArea dataOnly="0" labelOnly="1" fieldPosition="0">
        <references count="3">
          <reference field="0" count="1" selected="0">
            <x v="41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1129">
      <pivotArea dataOnly="0" labelOnly="1" fieldPosition="0">
        <references count="3">
          <reference field="0" count="1" selected="0">
            <x v="42"/>
          </reference>
          <reference field="1" count="1" selected="0">
            <x v="49"/>
          </reference>
          <reference field="2" count="1">
            <x v="1"/>
          </reference>
        </references>
      </pivotArea>
    </format>
    <format dxfId="1128">
      <pivotArea dataOnly="0" labelOnly="1" fieldPosition="0">
        <references count="3">
          <reference field="0" count="1" selected="0">
            <x v="43"/>
          </reference>
          <reference field="1" count="1" selected="0">
            <x v="18"/>
          </reference>
          <reference field="2" count="1">
            <x v="0"/>
          </reference>
        </references>
      </pivotArea>
    </format>
    <format dxfId="1127">
      <pivotArea dataOnly="0" labelOnly="1" fieldPosition="0">
        <references count="3">
          <reference field="0" count="1" selected="0">
            <x v="44"/>
          </reference>
          <reference field="1" count="1" selected="0">
            <x v="17"/>
          </reference>
          <reference field="2" count="1">
            <x v="12"/>
          </reference>
        </references>
      </pivotArea>
    </format>
    <format dxfId="1126">
      <pivotArea dataOnly="0" labelOnly="1" fieldPosition="0">
        <references count="3">
          <reference field="0" count="1" selected="0">
            <x v="45"/>
          </reference>
          <reference field="1" count="1" selected="0">
            <x v="40"/>
          </reference>
          <reference field="2" count="1">
            <x v="1"/>
          </reference>
        </references>
      </pivotArea>
    </format>
    <format dxfId="1125">
      <pivotArea dataOnly="0" labelOnly="1" fieldPosition="0">
        <references count="3">
          <reference field="0" count="1" selected="0">
            <x v="46"/>
          </reference>
          <reference field="1" count="1" selected="0">
            <x v="55"/>
          </reference>
          <reference field="2" count="1">
            <x v="18"/>
          </reference>
        </references>
      </pivotArea>
    </format>
    <format dxfId="1124">
      <pivotArea dataOnly="0" labelOnly="1" fieldPosition="0">
        <references count="3">
          <reference field="0" count="1" selected="0">
            <x v="47"/>
          </reference>
          <reference field="1" count="1" selected="0">
            <x v="21"/>
          </reference>
          <reference field="2" count="1">
            <x v="11"/>
          </reference>
        </references>
      </pivotArea>
    </format>
    <format dxfId="1123">
      <pivotArea dataOnly="0" labelOnly="1" fieldPosition="0">
        <references count="3">
          <reference field="0" count="1" selected="0">
            <x v="48"/>
          </reference>
          <reference field="1" count="1" selected="0">
            <x v="31"/>
          </reference>
          <reference field="2" count="1">
            <x v="18"/>
          </reference>
        </references>
      </pivotArea>
    </format>
    <format dxfId="1122">
      <pivotArea dataOnly="0" labelOnly="1" fieldPosition="0">
        <references count="3">
          <reference field="0" count="1" selected="0">
            <x v="50"/>
          </reference>
          <reference field="1" count="1" selected="0">
            <x v="35"/>
          </reference>
          <reference field="2" count="1">
            <x v="18"/>
          </reference>
        </references>
      </pivotArea>
    </format>
    <format dxfId="1121">
      <pivotArea dataOnly="0" labelOnly="1" fieldPosition="0">
        <references count="3">
          <reference field="0" count="1" selected="0">
            <x v="51"/>
          </reference>
          <reference field="1" count="1" selected="0">
            <x v="11"/>
          </reference>
          <reference field="2" count="1">
            <x v="2"/>
          </reference>
        </references>
      </pivotArea>
    </format>
    <format dxfId="1120">
      <pivotArea dataOnly="0" labelOnly="1" fieldPosition="0">
        <references count="3">
          <reference field="0" count="1" selected="0">
            <x v="52"/>
          </reference>
          <reference field="1" count="1" selected="0">
            <x v="6"/>
          </reference>
          <reference field="2" count="1">
            <x v="12"/>
          </reference>
        </references>
      </pivotArea>
    </format>
    <format dxfId="1119">
      <pivotArea dataOnly="0" labelOnly="1" fieldPosition="0">
        <references count="3">
          <reference field="0" count="1" selected="0">
            <x v="53"/>
          </reference>
          <reference field="1" count="1" selected="0">
            <x v="16"/>
          </reference>
          <reference field="2" count="1">
            <x v="12"/>
          </reference>
        </references>
      </pivotArea>
    </format>
    <format dxfId="1118">
      <pivotArea dataOnly="0" labelOnly="1" fieldPosition="0">
        <references count="3">
          <reference field="0" count="1" selected="0">
            <x v="54"/>
          </reference>
          <reference field="1" count="1" selected="0">
            <x v="44"/>
          </reference>
          <reference field="2" count="1">
            <x v="8"/>
          </reference>
        </references>
      </pivotArea>
    </format>
    <format dxfId="1117">
      <pivotArea dataOnly="0" labelOnly="1" fieldPosition="0">
        <references count="3">
          <reference field="0" count="1" selected="0">
            <x v="55"/>
          </reference>
          <reference field="1" count="1" selected="0">
            <x v="19"/>
          </reference>
          <reference field="2" count="1">
            <x v="18"/>
          </reference>
        </references>
      </pivotArea>
    </format>
    <format dxfId="1116">
      <pivotArea dataOnly="0" labelOnly="1" fieldPosition="0">
        <references count="3">
          <reference field="0" count="1" selected="0">
            <x v="55"/>
          </reference>
          <reference field="1" count="1" selected="0">
            <x v="30"/>
          </reference>
          <reference field="2" count="1">
            <x v="2"/>
          </reference>
        </references>
      </pivotArea>
    </format>
    <format dxfId="1115">
      <pivotArea type="all" dataOnly="0" outline="0" fieldPosition="0"/>
    </format>
    <format dxfId="1114">
      <pivotArea dataOnly="0" labelOnly="1" fieldPosition="0">
        <references count="1">
          <reference field="0" count="50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50"/>
            <x v="51"/>
            <x v="52"/>
          </reference>
        </references>
      </pivotArea>
    </format>
    <format dxfId="1113">
      <pivotArea dataOnly="0" labelOnly="1" fieldPosition="0">
        <references count="1">
          <reference field="0" count="3">
            <x v="53"/>
            <x v="54"/>
            <x v="55"/>
          </reference>
        </references>
      </pivotArea>
    </format>
    <format dxfId="1112">
      <pivotArea dataOnly="0" labelOnly="1" grandRow="1" outline="0" fieldPosition="0"/>
    </format>
    <format dxfId="1111">
      <pivotArea dataOnly="0" labelOnly="1" fieldPosition="0">
        <references count="2">
          <reference field="0" count="1" selected="0">
            <x v="0"/>
          </reference>
          <reference field="1" count="1">
            <x v="8"/>
          </reference>
        </references>
      </pivotArea>
    </format>
    <format dxfId="1110">
      <pivotArea field="0" type="button" dataOnly="0" labelOnly="1" outline="0" axis="axisRow" fieldPosition="0"/>
    </format>
    <format dxfId="1109">
      <pivotArea field="0" type="button" dataOnly="0" labelOnly="1" outline="0" axis="axisRow" fieldPosition="0"/>
    </format>
    <format dxfId="1108">
      <pivotArea field="0" type="button" dataOnly="0" labelOnly="1" outline="0" axis="axisRow" fieldPosition="0"/>
    </format>
    <format dxfId="1107">
      <pivotArea field="0" type="button" dataOnly="0" labelOnly="1" outline="0" axis="axisRow" fieldPosition="0"/>
    </format>
    <format dxfId="1106">
      <pivotArea field="0" type="button" dataOnly="0" labelOnly="1" outline="0" axis="axisRow" fieldPosition="0"/>
    </format>
    <format dxfId="1105">
      <pivotArea field="0" type="button" dataOnly="0" labelOnly="1" outline="0" axis="axisRow" fieldPosition="0"/>
    </format>
    <format dxfId="1104">
      <pivotArea field="1" type="button" dataOnly="0" labelOnly="1" outline="0" axis="axisRow" fieldPosition="1"/>
    </format>
    <format dxfId="1103">
      <pivotArea field="2" type="button" dataOnly="0" labelOnly="1" outline="0" axis="axisRow" fieldPosition="2"/>
    </format>
    <format dxfId="1102">
      <pivotArea field="0" type="button" dataOnly="0" labelOnly="1" outline="0" axis="axisRow" fieldPosition="0"/>
    </format>
    <format dxfId="1101">
      <pivotArea field="1" type="button" dataOnly="0" labelOnly="1" outline="0" axis="axisRow" fieldPosition="1"/>
    </format>
    <format dxfId="1100">
      <pivotArea field="2" type="button" dataOnly="0" labelOnly="1" outline="0" axis="axisRow" fieldPosition="2"/>
    </format>
    <format dxfId="1099">
      <pivotArea field="0" type="button" dataOnly="0" labelOnly="1" outline="0" axis="axisRow" fieldPosition="0"/>
    </format>
    <format dxfId="1098">
      <pivotArea field="1" type="button" dataOnly="0" labelOnly="1" outline="0" axis="axisRow" fieldPosition="1"/>
    </format>
    <format dxfId="1097">
      <pivotArea field="2" type="button" dataOnly="0" labelOnly="1" outline="0" axis="axisRow" fieldPosition="2"/>
    </format>
    <format dxfId="1096">
      <pivotArea field="2" type="button" dataOnly="0" labelOnly="1" outline="0" axis="axisRow" fieldPosition="2"/>
    </format>
    <format dxfId="1095">
      <pivotArea dataOnly="0" labelOnly="1" outline="0" fieldPosition="0">
        <references count="1">
          <reference field="2" count="0"/>
        </references>
      </pivotArea>
    </format>
  </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46E8C-2D81-43BD-83BB-B7EDEA85D16A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:">
  <location ref="A3:B16" firstHeaderRow="1" firstDataRow="1" firstDataCol="1" rowPageCount="1" colPageCount="1"/>
  <pivotFields count="6">
    <pivotField axis="axisPage" numFmtId="14" multipleItemSelectionAllowed="1" showAll="0">
      <items count="73">
        <item m="1" x="70"/>
        <item m="1" x="66"/>
        <item m="1" x="67"/>
        <item m="1" x="69"/>
        <item m="1" x="71"/>
        <item m="1" x="68"/>
        <item m="1" x="61"/>
        <item m="1" x="62"/>
        <item m="1" x="63"/>
        <item m="1" x="64"/>
        <item m="1" x="65"/>
        <item x="0"/>
        <item m="1" x="54"/>
        <item m="1" x="55"/>
        <item m="1" x="56"/>
        <item x="1"/>
        <item x="2"/>
        <item x="3"/>
        <item x="4"/>
        <item x="5"/>
        <item x="6"/>
        <item x="7"/>
        <item m="1" x="57"/>
        <item x="8"/>
        <item x="43"/>
        <item x="9"/>
        <item x="10"/>
        <item x="42"/>
        <item x="11"/>
        <item x="12"/>
        <item x="13"/>
        <item x="14"/>
        <item x="44"/>
        <item x="15"/>
        <item x="16"/>
        <item m="1" x="58"/>
        <item x="17"/>
        <item m="1" x="59"/>
        <item x="19"/>
        <item x="50"/>
        <item m="1" x="60"/>
        <item x="20"/>
        <item x="53"/>
        <item x="22"/>
        <item x="23"/>
        <item x="24"/>
        <item x="25"/>
        <item x="26"/>
        <item x="51"/>
        <item x="33"/>
        <item x="34"/>
        <item x="35"/>
        <item x="36"/>
        <item x="27"/>
        <item x="37"/>
        <item x="46"/>
        <item x="47"/>
        <item x="52"/>
        <item x="21"/>
        <item x="29"/>
        <item x="30"/>
        <item x="31"/>
        <item x="32"/>
        <item x="39"/>
        <item x="40"/>
        <item x="41"/>
        <item x="18"/>
        <item x="28"/>
        <item x="38"/>
        <item x="45"/>
        <item x="48"/>
        <item x="49"/>
        <item t="default"/>
      </items>
    </pivotField>
    <pivotField axis="axisRow" showAll="0">
      <items count="382">
        <item m="1" x="234"/>
        <item m="1" x="299"/>
        <item m="1" x="321"/>
        <item m="1" x="367"/>
        <item m="1" x="360"/>
        <item m="1" x="282"/>
        <item m="1" x="373"/>
        <item m="1" x="285"/>
        <item m="1" x="339"/>
        <item m="1" x="236"/>
        <item m="1" x="380"/>
        <item m="1" x="280"/>
        <item m="1" x="361"/>
        <item m="1" x="283"/>
        <item m="1" x="357"/>
        <item m="1" x="284"/>
        <item m="1" x="300"/>
        <item m="1" x="342"/>
        <item m="1" x="297"/>
        <item m="1" x="343"/>
        <item m="1" x="298"/>
        <item m="1" x="272"/>
        <item m="1" x="273"/>
        <item m="1" x="372"/>
        <item m="1" x="275"/>
        <item m="1" x="311"/>
        <item m="1" x="276"/>
        <item m="1" x="277"/>
        <item m="1" x="358"/>
        <item m="1" x="281"/>
        <item m="1" x="359"/>
        <item m="1" x="374"/>
        <item m="1" x="286"/>
        <item m="1" x="371"/>
        <item m="1" x="318"/>
        <item m="1" x="317"/>
        <item m="1" x="252"/>
        <item m="1" x="323"/>
        <item m="1" x="332"/>
        <item m="1" x="331"/>
        <item m="1" x="337"/>
        <item m="1" x="378"/>
        <item m="1" x="238"/>
        <item m="1" x="247"/>
        <item m="1" x="302"/>
        <item m="1" x="237"/>
        <item m="1" x="258"/>
        <item m="1" x="248"/>
        <item m="1" x="254"/>
        <item m="1" x="241"/>
        <item m="1" x="340"/>
        <item m="1" x="338"/>
        <item m="1" x="266"/>
        <item m="1" x="310"/>
        <item m="1" x="274"/>
        <item m="1" x="319"/>
        <item m="1" x="288"/>
        <item m="1" x="375"/>
        <item m="1" x="377"/>
        <item m="1" x="287"/>
        <item m="1" x="334"/>
        <item m="1" x="290"/>
        <item m="1" x="313"/>
        <item m="1" x="324"/>
        <item m="1" x="289"/>
        <item m="1" x="312"/>
        <item m="1" x="233"/>
        <item m="1" x="333"/>
        <item m="1" x="294"/>
        <item m="1" x="235"/>
        <item m="1" x="328"/>
        <item m="1" x="293"/>
        <item m="1" x="264"/>
        <item m="1" x="230"/>
        <item m="1" x="303"/>
        <item m="1" x="228"/>
        <item m="1" x="301"/>
        <item m="1" x="231"/>
        <item m="1" x="305"/>
        <item m="1" x="259"/>
        <item m="1" x="306"/>
        <item m="1" x="250"/>
        <item m="1" x="304"/>
        <item m="1" x="239"/>
        <item m="1" x="307"/>
        <item m="1" x="255"/>
        <item m="1" x="308"/>
        <item x="225"/>
        <item m="1" x="256"/>
        <item m="1" x="309"/>
        <item x="226"/>
        <item m="1" x="379"/>
        <item m="1" x="353"/>
        <item m="1" x="279"/>
        <item m="1" x="356"/>
        <item m="1" x="369"/>
        <item m="1" x="376"/>
        <item m="1" x="341"/>
        <item m="1" x="296"/>
        <item m="1" x="366"/>
        <item m="1" x="370"/>
        <item m="1" x="329"/>
        <item x="129"/>
        <item m="1" x="330"/>
        <item x="0"/>
        <item m="1" x="260"/>
        <item x="188"/>
        <item m="1" x="263"/>
        <item x="44"/>
        <item x="76"/>
        <item m="1" x="265"/>
        <item m="1" x="268"/>
        <item x="167"/>
        <item m="1" x="269"/>
        <item x="168"/>
        <item m="1" x="314"/>
        <item x="27"/>
        <item x="64"/>
        <item m="1" x="315"/>
        <item x="126"/>
        <item x="141"/>
        <item m="1" x="316"/>
        <item x="127"/>
        <item x="142"/>
        <item m="1" x="336"/>
        <item x="128"/>
        <item m="1" x="351"/>
        <item m="1" x="325"/>
        <item x="28"/>
        <item m="1" x="344"/>
        <item x="130"/>
        <item x="143"/>
        <item m="1" x="345"/>
        <item x="131"/>
        <item x="144"/>
        <item m="1" x="251"/>
        <item x="219"/>
        <item m="1" x="249"/>
        <item x="43"/>
        <item m="1" x="349"/>
        <item x="1"/>
        <item x="45"/>
        <item x="77"/>
        <item x="101"/>
        <item x="2"/>
        <item x="46"/>
        <item x="78"/>
        <item m="1" x="350"/>
        <item x="4"/>
        <item x="47"/>
        <item x="79"/>
        <item x="102"/>
        <item x="5"/>
        <item x="48"/>
        <item x="6"/>
        <item x="7"/>
        <item x="49"/>
        <item x="8"/>
        <item x="50"/>
        <item x="80"/>
        <item x="103"/>
        <item x="9"/>
        <item x="51"/>
        <item x="81"/>
        <item x="104"/>
        <item x="10"/>
        <item x="52"/>
        <item x="82"/>
        <item x="105"/>
        <item x="11"/>
        <item x="53"/>
        <item x="83"/>
        <item x="106"/>
        <item x="121"/>
        <item x="137"/>
        <item x="148"/>
        <item x="216"/>
        <item x="220"/>
        <item x="178"/>
        <item x="15"/>
        <item x="55"/>
        <item x="84"/>
        <item x="107"/>
        <item x="16"/>
        <item x="56"/>
        <item x="85"/>
        <item x="108"/>
        <item x="17"/>
        <item x="57"/>
        <item x="86"/>
        <item x="109"/>
        <item x="18"/>
        <item x="32"/>
        <item x="14"/>
        <item m="1" x="352"/>
        <item x="184"/>
        <item m="1" x="261"/>
        <item x="189"/>
        <item m="1" x="348"/>
        <item m="1" x="262"/>
        <item x="166"/>
        <item m="1" x="326"/>
        <item x="31"/>
        <item m="1" x="355"/>
        <item m="1" x="327"/>
        <item m="1" x="322"/>
        <item x="207"/>
        <item x="211"/>
        <item m="1" x="346"/>
        <item x="122"/>
        <item x="136"/>
        <item x="204"/>
        <item x="12"/>
        <item x="54"/>
        <item x="3"/>
        <item x="179"/>
        <item x="19"/>
        <item x="60"/>
        <item x="123"/>
        <item x="140"/>
        <item x="13"/>
        <item x="205"/>
        <item x="209"/>
        <item x="213"/>
        <item m="1" x="368"/>
        <item m="1" x="362"/>
        <item m="1" x="245"/>
        <item m="1" x="364"/>
        <item m="1" x="363"/>
        <item m="1" x="365"/>
        <item m="1" x="320"/>
        <item m="1" x="257"/>
        <item m="1" x="240"/>
        <item m="1" x="244"/>
        <item m="1" x="253"/>
        <item m="1" x="246"/>
        <item m="1" x="267"/>
        <item m="1" x="292"/>
        <item m="1" x="291"/>
        <item m="1" x="295"/>
        <item m="1" x="243"/>
        <item m="1" x="232"/>
        <item x="227"/>
        <item m="1" x="229"/>
        <item m="1" x="242"/>
        <item m="1" x="354"/>
        <item m="1" x="270"/>
        <item m="1" x="278"/>
        <item m="1" x="271"/>
        <item x="125"/>
        <item x="139"/>
        <item x="150"/>
        <item x="155"/>
        <item x="21"/>
        <item x="58"/>
        <item x="87"/>
        <item x="110"/>
        <item x="124"/>
        <item x="138"/>
        <item x="149"/>
        <item x="154"/>
        <item x="158"/>
        <item x="169"/>
        <item x="174"/>
        <item x="160"/>
        <item x="170"/>
        <item x="175"/>
        <item x="180"/>
        <item x="190"/>
        <item x="197"/>
        <item x="182"/>
        <item x="191"/>
        <item x="198"/>
        <item x="159"/>
        <item m="1" x="335"/>
        <item x="22"/>
        <item x="59"/>
        <item x="88"/>
        <item x="111"/>
        <item m="1" x="347"/>
        <item x="181"/>
        <item x="192"/>
        <item x="199"/>
        <item x="20"/>
        <item x="29"/>
        <item x="30"/>
        <item x="163"/>
        <item x="221"/>
        <item x="218"/>
        <item x="33"/>
        <item x="34"/>
        <item x="35"/>
        <item x="164"/>
        <item x="187"/>
        <item x="208"/>
        <item x="222"/>
        <item x="36"/>
        <item x="42"/>
        <item x="37"/>
        <item x="38"/>
        <item x="39"/>
        <item x="132"/>
        <item x="133"/>
        <item x="134"/>
        <item x="135"/>
        <item x="165"/>
        <item x="65"/>
        <item x="66"/>
        <item x="223"/>
        <item x="67"/>
        <item x="68"/>
        <item x="71"/>
        <item x="72"/>
        <item x="69"/>
        <item x="70"/>
        <item x="145"/>
        <item x="146"/>
        <item x="172"/>
        <item x="173"/>
        <item x="196"/>
        <item x="212"/>
        <item x="73"/>
        <item x="147"/>
        <item x="92"/>
        <item x="93"/>
        <item x="224"/>
        <item x="94"/>
        <item x="95"/>
        <item x="177"/>
        <item x="203"/>
        <item x="215"/>
        <item x="96"/>
        <item x="97"/>
        <item x="151"/>
        <item x="152"/>
        <item x="98"/>
        <item x="153"/>
        <item x="114"/>
        <item x="115"/>
        <item x="116"/>
        <item x="117"/>
        <item x="156"/>
        <item x="118"/>
        <item x="157"/>
        <item x="23"/>
        <item x="24"/>
        <item x="25"/>
        <item x="26"/>
        <item x="40"/>
        <item x="41"/>
        <item x="61"/>
        <item x="62"/>
        <item x="63"/>
        <item x="74"/>
        <item x="75"/>
        <item x="89"/>
        <item x="90"/>
        <item x="91"/>
        <item x="99"/>
        <item x="100"/>
        <item x="112"/>
        <item x="113"/>
        <item x="119"/>
        <item x="120"/>
        <item x="161"/>
        <item x="162"/>
        <item x="171"/>
        <item x="176"/>
        <item x="183"/>
        <item x="185"/>
        <item x="186"/>
        <item x="193"/>
        <item x="194"/>
        <item x="195"/>
        <item x="200"/>
        <item x="201"/>
        <item x="202"/>
        <item x="206"/>
        <item x="210"/>
        <item x="214"/>
        <item x="217"/>
        <item t="default"/>
      </items>
    </pivotField>
    <pivotField axis="axisRow" showAll="0">
      <items count="55">
        <item h="1" sd="0" m="1" x="42"/>
        <item h="1" sd="0" m="1" x="50"/>
        <item h="1" sd="0" m="1" x="53"/>
        <item h="1" sd="0" m="1" x="35"/>
        <item h="1" sd="0" x="6"/>
        <item h="1" sd="0" x="7"/>
        <item h="1" sd="0" x="23"/>
        <item h="1" sd="0" m="1" x="39"/>
        <item h="1" sd="0" x="10"/>
        <item h="1" sd="0" m="1" x="28"/>
        <item x="0"/>
        <item h="1" sd="0" m="1" x="51"/>
        <item h="1" sd="0" x="11"/>
        <item h="1" sd="0" m="1" x="52"/>
        <item h="1" sd="0" x="14"/>
        <item h="1" sd="0" m="1" x="25"/>
        <item h="1" sd="0" m="1" x="37"/>
        <item h="1" sd="0" m="1" x="34"/>
        <item h="1" sd="0" m="1" x="29"/>
        <item h="1" sd="0" m="1" x="30"/>
        <item h="1" sd="0" m="1" x="38"/>
        <item h="1" sd="0" x="19"/>
        <item h="1" sd="0" m="1" x="47"/>
        <item h="1" sd="0" m="1" x="31"/>
        <item h="1" sd="0" m="1" x="40"/>
        <item h="1" sd="0" m="1" x="48"/>
        <item h="1" sd="0" m="1" x="41"/>
        <item h="1" sd="0" m="1" x="43"/>
        <item h="1" sd="0" m="1" x="26"/>
        <item h="1" sd="0" m="1" x="49"/>
        <item h="1" sd="0" m="1" x="44"/>
        <item h="1" sd="0" x="3"/>
        <item h="1" sd="0" x="22"/>
        <item h="1" sd="0" x="17"/>
        <item h="1" sd="0" x="9"/>
        <item h="1" sd="0" m="1" x="32"/>
        <item h="1" sd="0" m="1" x="45"/>
        <item h="1" sd="0" x="4"/>
        <item h="1" sd="0" x="16"/>
        <item h="1" sd="0" x="12"/>
        <item h="1" sd="0" m="1" x="33"/>
        <item h="1" sd="0" x="21"/>
        <item h="1" x="2"/>
        <item h="1" sd="0" m="1" x="36"/>
        <item h="1" sd="0" x="24"/>
        <item h="1" sd="0" x="5"/>
        <item h="1" sd="0" m="1" x="27"/>
        <item h="1" sd="0" x="15"/>
        <item h="1" sd="0" x="13"/>
        <item h="1" sd="0" x="18"/>
        <item h="1" sd="0" x="1"/>
        <item h="1" sd="0" m="1" x="46"/>
        <item h="1" sd="0" x="8"/>
        <item h="1" sd="0" x="20"/>
        <item t="default" sd="0"/>
      </items>
    </pivotField>
    <pivotField numFmtId="4" showAll="0"/>
    <pivotField dataField="1" numFmtId="4" showAll="0"/>
    <pivotField name="Filtro Semanal" axis="axisRow" showAll="0">
      <items count="21">
        <item sd="0" x="0"/>
        <item sd="0" x="1"/>
        <item sd="0" x="2"/>
        <item x="3"/>
        <item sd="0" x="4"/>
        <item sd="0" x="5"/>
        <item x="6"/>
        <item sd="0" x="7"/>
        <item sd="0" x="8"/>
        <item sd="0" x="9"/>
        <item x="10"/>
        <item sd="0" x="11"/>
        <item sd="0" x="12"/>
        <item sd="0" x="13"/>
        <item x="14"/>
        <item sd="0" x="15"/>
        <item sd="0" x="16"/>
        <item sd="0" x="17"/>
        <item sd="0" x="18"/>
        <item sd="0" x="19"/>
        <item t="default" sd="0"/>
      </items>
    </pivotField>
  </pivotFields>
  <rowFields count="3">
    <field x="2"/>
    <field x="5"/>
    <field x="1"/>
  </rowFields>
  <rowItems count="13">
    <i>
      <x v="10"/>
    </i>
    <i r="1">
      <x v="3"/>
    </i>
    <i r="2">
      <x v="104"/>
    </i>
    <i r="1">
      <x v="6"/>
    </i>
    <i r="2">
      <x v="267"/>
    </i>
    <i r="2">
      <x v="270"/>
    </i>
    <i r="1">
      <x v="10"/>
    </i>
    <i r="2">
      <x v="268"/>
    </i>
    <i r="2">
      <x v="271"/>
    </i>
    <i r="1">
      <x v="14"/>
    </i>
    <i r="2">
      <x v="269"/>
    </i>
    <i r="2">
      <x v="272"/>
    </i>
    <i t="grand">
      <x/>
    </i>
  </rowItems>
  <colItems count="1">
    <i/>
  </colItems>
  <pageFields count="1">
    <pageField fld="0" hier="-1"/>
  </pageFields>
  <dataFields count="1">
    <dataField name="Valor parcela" fld="4" baseField="2" baseItem="0" numFmtId="4"/>
  </dataField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CIMENTO1" xr10:uid="{04E71599-A1C5-4248-BB88-BAE391CE35B1}" sourceName="VENCIMENTO">
  <pivotTables>
    <pivotTable tabId="4" name="Tabela dinâmica4"/>
  </pivotTables>
  <data>
    <tabular pivotCacheId="1521947325">
      <items count="72">
        <i x="0" s="1"/>
        <i x="7" s="1"/>
        <i x="17" s="1"/>
        <i x="27" s="1"/>
        <i x="70" s="1" nd="1"/>
        <i x="66" s="1" nd="1"/>
        <i x="67" s="1" nd="1"/>
        <i x="69" s="1" nd="1"/>
        <i x="71" s="1" nd="1"/>
        <i x="68" s="1" nd="1"/>
        <i x="61" s="1" nd="1"/>
        <i x="62" s="1" nd="1"/>
        <i x="63" s="1" nd="1"/>
        <i x="64" s="1" nd="1"/>
        <i x="65" s="1" nd="1"/>
        <i x="54" s="1" nd="1"/>
        <i x="55" s="1" nd="1"/>
        <i x="56" s="1" nd="1"/>
        <i x="1" s="1" nd="1"/>
        <i x="2" s="1" nd="1"/>
        <i x="3" s="1" nd="1"/>
        <i x="4" s="1" nd="1"/>
        <i x="5" s="1" nd="1"/>
        <i x="6" s="1" nd="1"/>
        <i x="57" s="1" nd="1"/>
        <i x="8" s="1" nd="1"/>
        <i x="43" s="1" nd="1"/>
        <i x="9" s="1" nd="1"/>
        <i x="10" s="1" nd="1"/>
        <i x="42" s="1" nd="1"/>
        <i x="52" s="1" nd="1"/>
        <i x="11" s="1" nd="1"/>
        <i x="12" s="1" nd="1"/>
        <i x="13" s="1" nd="1"/>
        <i x="14" s="1" nd="1"/>
        <i x="44" s="1" nd="1"/>
        <i x="15" s="1" nd="1"/>
        <i x="16" s="1" nd="1"/>
        <i x="58" s="1" nd="1"/>
        <i x="46" s="1" nd="1"/>
        <i x="59" s="1" nd="1"/>
        <i x="49" s="1" nd="1"/>
        <i x="18" s="1" nd="1"/>
        <i x="19" s="1" nd="1"/>
        <i x="50" s="1" nd="1"/>
        <i x="60" s="1" nd="1"/>
        <i x="20" s="1" nd="1"/>
        <i x="21" s="1" nd="1"/>
        <i x="53" s="1" nd="1"/>
        <i x="22" s="1" nd="1"/>
        <i x="23" s="1" nd="1"/>
        <i x="24" s="1" nd="1"/>
        <i x="25" s="1" nd="1"/>
        <i x="26" s="1" nd="1"/>
        <i x="51" s="1" nd="1"/>
        <i x="47" s="1" nd="1"/>
        <i x="45" s="1" nd="1"/>
        <i x="28" s="1" nd="1"/>
        <i x="4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1" xr10:uid="{C05B577C-C655-4E41-9D7B-45BDD472E931}" sourceName="CLIENTE">
  <pivotTables>
    <pivotTable tabId="4" name="Tabela dinâmica4"/>
  </pivotTables>
  <data>
    <tabular pivotCacheId="1521947325">
      <items count="54">
        <i x="6"/>
        <i x="7"/>
        <i x="23"/>
        <i x="10"/>
        <i x="0" s="1"/>
        <i x="11"/>
        <i x="14"/>
        <i x="19"/>
        <i x="3"/>
        <i x="20"/>
        <i x="22"/>
        <i x="17"/>
        <i x="9"/>
        <i x="4"/>
        <i x="16"/>
        <i x="12"/>
        <i x="21"/>
        <i x="2"/>
        <i x="24"/>
        <i x="5"/>
        <i x="15"/>
        <i x="13"/>
        <i x="18"/>
        <i x="1"/>
        <i x="8"/>
        <i x="42" nd="1"/>
        <i x="50" nd="1"/>
        <i x="53" nd="1"/>
        <i x="35" nd="1"/>
        <i x="39" nd="1"/>
        <i x="28" nd="1"/>
        <i x="51" nd="1"/>
        <i x="52" nd="1"/>
        <i x="25" nd="1"/>
        <i x="37" nd="1"/>
        <i x="34" nd="1"/>
        <i x="29" nd="1"/>
        <i x="30" nd="1"/>
        <i x="38" nd="1"/>
        <i x="47" nd="1"/>
        <i x="31" nd="1"/>
        <i x="40" nd="1"/>
        <i x="48" nd="1"/>
        <i x="41" nd="1"/>
        <i x="43" nd="1"/>
        <i x="26" nd="1"/>
        <i x="49" nd="1"/>
        <i x="44" nd="1"/>
        <i x="32" nd="1"/>
        <i x="45" nd="1"/>
        <i x="33" nd="1"/>
        <i x="36" nd="1"/>
        <i x="27" nd="1"/>
        <i x="46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dealer_Cliente1" xr10:uid="{0711AE5C-AE0C-4ADF-9665-F0F878C8F837}" sourceName="Subdealer/Cliente">
  <pivotTables>
    <pivotTable tabId="5" name="Tabela dinâmica1"/>
  </pivotTables>
  <data>
    <tabular pivotCacheId="41864588">
      <items count="56">
        <i x="35" s="1"/>
        <i x="30" s="1"/>
        <i x="5" s="1"/>
        <i x="3" s="1"/>
        <i x="27" s="1"/>
        <i x="26" s="1"/>
        <i x="18" s="1"/>
        <i x="33" s="1"/>
        <i x="29" s="1"/>
        <i x="17" s="1"/>
        <i x="48" s="1"/>
        <i x="32" s="1"/>
        <i x="19" s="1"/>
        <i x="34" s="1"/>
        <i x="11" s="1"/>
        <i x="8" s="1"/>
        <i x="46" s="1"/>
        <i x="44" s="1"/>
        <i x="42" s="1"/>
        <i x="43" s="1"/>
        <i x="45" s="1"/>
        <i x="49" s="1"/>
        <i x="41" s="1"/>
        <i x="40" s="1"/>
        <i x="39" s="1"/>
        <i x="47" s="1"/>
        <i x="52" s="1"/>
        <i x="50" s="1"/>
        <i x="28" s="1"/>
        <i x="15" s="1"/>
        <i x="51" s="1"/>
        <i x="36" s="1"/>
        <i x="9" s="1"/>
        <i x="4" s="1"/>
        <i x="24" s="1"/>
        <i x="25" s="1"/>
        <i x="1" s="1"/>
        <i x="2" s="1"/>
        <i x="31" s="1"/>
        <i x="21" s="1"/>
        <i x="14" s="1"/>
        <i x="22" s="1"/>
        <i x="37" s="1"/>
        <i x="23" s="1"/>
        <i x="13" s="1"/>
        <i x="12" s="1"/>
        <i x="6" s="1"/>
        <i x="7" s="1"/>
        <i x="10" s="1"/>
        <i x="38" s="1"/>
        <i x="20" s="1"/>
        <i x="0" s="1"/>
        <i x="16" s="1"/>
        <i x="55" s="1" nd="1"/>
        <i x="54" s="1" nd="1"/>
        <i x="53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" xr10:uid="{21950A4F-5D7D-42B5-A9F5-F40AE3F0288F}" sourceName="CLIENTE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CIMENTO" xr10:uid="{45AEDEA0-50F3-44BA-9519-FE8062478688}" sourceName="VENCIMENTO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dealer_Cliente" xr10:uid="{ABB0C23C-F0F9-4BF4-BE78-78B7D649B3BA}" sourceName="Subdealer/Cliente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mite_de_Crédito__R" xr10:uid="{31460968-2BAB-438D-8041-76194C4ACE58}" sourceName="Limite de Crédito (R$)">
  <extLst>
    <x:ext xmlns:x15="http://schemas.microsoft.com/office/spreadsheetml/2010/11/main" uri="{2F2917AC-EB37-4324-AD4E-5DD8C200BD13}">
      <x15:tableSlicerCache tableId="2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3E9531BF-658E-44F5-B72C-4D11F2220C65}" cache="SegmentaçãodeDados_CLIENTE" caption="CLIENTE" columnCount="4" style="SlicerStyleDark1" rowHeight="241300"/>
  <slicer name="VENCIMENTO" xr10:uid="{F97CAD98-7A2B-43B0-B7DA-8A03658930D4}" cache="SegmentaçãodeDados_VENCIMENTO" caption="VENCIMENTO" columnCount="3" style="SlicerStyleDark1" rowHeight="216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dealer/Cliente 1" xr10:uid="{47680E26-05DE-48B0-B054-A985137336DE}" cache="SegmentaçãodeDados_Subdealer_Cliente1" caption="Subdealer/Cliente" columnCount="4" style="SlicerStyleLight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CIMENTO 1" xr10:uid="{A693ECF0-77FE-4016-9E96-B43480CC79B2}" cache="SegmentaçãodeDados_VENCIMENTO1" caption="VENCIMENTO" style="SlicerStyleLight6" rowHeight="241300"/>
  <slicer name="CLIENTE 1" xr10:uid="{3C07DD10-3A0B-452A-ABD6-AF9F8EBCC753}" cache="SegmentaçãodeDados_CLIENTE1" caption="CLIENTE" style="SlicerStyleLight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dealer/Cliente" xr10:uid="{D1498946-496F-440F-8E88-86D3865A924B}" cache="SegmentaçãodeDados_Subdealer_Cliente" caption="Subdealer/Cliente" style="SlicerStyleLight2" rowHeight="241300"/>
  <slicer name="Limite de Crédito (R$)" xr10:uid="{E115A239-90BF-4B91-8C18-6CB900AAD035}" cache="SegmentaçãodeDados_Limite_de_Crédito__R" caption="Limite de Crédito (R$)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8E566-338F-467A-A86D-3DB91A1B1F1F}" name="Tabela1" displayName="Tabela1" ref="A1:E288" totalsRowShown="0" headerRowDxfId="1237" tableBorderDxfId="1236">
  <autoFilter ref="A1:E288" xr:uid="{C388E566-338F-467A-A86D-3DB91A1B1F1F}"/>
  <sortState xmlns:xlrd2="http://schemas.microsoft.com/office/spreadsheetml/2017/richdata2" ref="A2:E288">
    <sortCondition ref="A1:A288"/>
  </sortState>
  <tableColumns count="5">
    <tableColumn id="1" xr3:uid="{FCDCDB2C-B882-44A5-93A5-633DD40190CC}" name="VENCIMENTO" dataDxfId="1235"/>
    <tableColumn id="2" xr3:uid="{883EFB0C-881B-4D4A-96BD-3A09F3A604E2}" name="NF" dataDxfId="1234"/>
    <tableColumn id="3" xr3:uid="{BEBECE70-D499-4A19-B972-BCD004248C95}" name="CLIENTE" dataDxfId="1233"/>
    <tableColumn id="4" xr3:uid="{4DC3305C-9658-49A7-9776-E39CFDD8D520}" name="VALOR PARCELAR" dataDxfId="1232"/>
    <tableColumn id="5" xr3:uid="{FF3D80CF-E96F-488E-8334-9201BAEE2C3D}" name="SALDO" dataDxfId="1231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7DB49-0D8C-4FF9-96CE-87CECB92181B}" name="Tabela2" displayName="Tabela2" ref="A1:C57" totalsRowShown="0" headerRowDxfId="1094" headerRowBorderDxfId="1093" tableBorderDxfId="1092" totalsRowBorderDxfId="1091">
  <autoFilter ref="A1:C57" xr:uid="{5077DB49-0D8C-4FF9-96CE-87CECB92181B}"/>
  <tableColumns count="3">
    <tableColumn id="1" xr3:uid="{4E4FA1DA-D505-4592-A99F-B0505811A16E}" name="Subdealer/Cliente" dataDxfId="1090"/>
    <tableColumn id="2" xr3:uid="{C6B4BC02-14B7-4158-AAA9-A64264A26DB6}" name="CNPJ" dataDxfId="1089"/>
    <tableColumn id="3" xr3:uid="{B25C16D7-09D1-4849-B45A-C2C06395FAEF}" name="Limite de Crédito (R$)" dataDxfId="1088" dataCellStyle="Mo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4" Type="http://schemas.microsoft.com/office/2007/relationships/slicer" Target="../slicers/slicer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5" Type="http://schemas.openxmlformats.org/officeDocument/2006/relationships/comments" Target="../comments1.xml"/><Relationship Id="rId4" Type="http://schemas.microsoft.com/office/2007/relationships/slicer" Target="../slicers/slicer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7F9F-2F0D-475A-8C69-9D171BCFCAC1}">
  <sheetPr codeName="Planilha1"/>
  <dimension ref="A1:E288"/>
  <sheetViews>
    <sheetView showGridLines="0" showOutlineSymbols="0" workbookViewId="0">
      <selection activeCell="H30" sqref="H30"/>
    </sheetView>
  </sheetViews>
  <sheetFormatPr defaultRowHeight="15" x14ac:dyDescent="0.25"/>
  <cols>
    <col min="1" max="1" width="18.5703125" bestFit="1" customWidth="1"/>
    <col min="2" max="2" width="20.85546875" customWidth="1"/>
    <col min="3" max="3" width="44.140625" customWidth="1"/>
    <col min="4" max="4" width="18.5703125" customWidth="1"/>
    <col min="5" max="5" width="9.5703125" customWidth="1"/>
    <col min="6" max="256" width="6.85546875" customWidth="1"/>
  </cols>
  <sheetData>
    <row r="1" spans="1:5" ht="15.75" x14ac:dyDescent="0.25">
      <c r="A1" s="9" t="s">
        <v>124</v>
      </c>
      <c r="B1" s="1" t="s">
        <v>125</v>
      </c>
      <c r="C1" s="2" t="s">
        <v>126</v>
      </c>
      <c r="D1" s="2" t="s">
        <v>127</v>
      </c>
      <c r="E1" s="2" t="s">
        <v>128</v>
      </c>
    </row>
    <row r="2" spans="1:5" ht="15" customHeight="1" x14ac:dyDescent="0.25">
      <c r="A2" s="9">
        <v>46066</v>
      </c>
      <c r="B2" s="3" t="s">
        <v>14</v>
      </c>
      <c r="C2" s="4" t="s">
        <v>13</v>
      </c>
      <c r="D2" s="5">
        <v>70336</v>
      </c>
      <c r="E2" s="5">
        <v>70336</v>
      </c>
    </row>
    <row r="3" spans="1:5" ht="15" customHeight="1" x14ac:dyDescent="0.25">
      <c r="A3" s="9">
        <v>46073</v>
      </c>
      <c r="B3" s="67" t="s">
        <v>103</v>
      </c>
      <c r="C3" s="67" t="s">
        <v>102</v>
      </c>
      <c r="D3" s="68">
        <v>47582.9</v>
      </c>
      <c r="E3" s="68">
        <v>47582.9</v>
      </c>
    </row>
    <row r="4" spans="1:5" ht="15" customHeight="1" x14ac:dyDescent="0.25">
      <c r="A4" s="9">
        <v>46073</v>
      </c>
      <c r="B4" s="67" t="s">
        <v>72</v>
      </c>
      <c r="C4" s="67" t="s">
        <v>71</v>
      </c>
      <c r="D4" s="68">
        <v>85493.34</v>
      </c>
      <c r="E4" s="68">
        <v>85493.34</v>
      </c>
    </row>
    <row r="5" spans="1:5" ht="15" customHeight="1" x14ac:dyDescent="0.25">
      <c r="A5" s="9">
        <v>46073</v>
      </c>
      <c r="B5" s="67" t="s">
        <v>29</v>
      </c>
      <c r="C5" s="67" t="s">
        <v>28</v>
      </c>
      <c r="D5" s="68">
        <v>4244.8999999999996</v>
      </c>
      <c r="E5" s="68">
        <v>4244.8999999999996</v>
      </c>
    </row>
    <row r="6" spans="1:5" ht="15" customHeight="1" x14ac:dyDescent="0.25">
      <c r="A6" s="9">
        <v>46076</v>
      </c>
      <c r="B6" s="67" t="s">
        <v>104</v>
      </c>
      <c r="C6" s="67" t="s">
        <v>102</v>
      </c>
      <c r="D6" s="68">
        <v>48706.64</v>
      </c>
      <c r="E6" s="68">
        <v>48706.64</v>
      </c>
    </row>
    <row r="7" spans="1:5" ht="15" customHeight="1" x14ac:dyDescent="0.25">
      <c r="A7" s="9">
        <v>46076</v>
      </c>
      <c r="B7" s="67" t="s">
        <v>73</v>
      </c>
      <c r="C7" s="67" t="s">
        <v>71</v>
      </c>
      <c r="D7" s="68">
        <v>46515</v>
      </c>
      <c r="E7" s="68">
        <v>46515</v>
      </c>
    </row>
    <row r="8" spans="1:5" ht="15" customHeight="1" x14ac:dyDescent="0.25">
      <c r="A8" s="9">
        <v>46076</v>
      </c>
      <c r="B8" s="67" t="s">
        <v>74</v>
      </c>
      <c r="C8" s="67" t="s">
        <v>71</v>
      </c>
      <c r="D8" s="68">
        <v>15486</v>
      </c>
      <c r="E8" s="68">
        <v>15486</v>
      </c>
    </row>
    <row r="9" spans="1:5" ht="15" customHeight="1" x14ac:dyDescent="0.25">
      <c r="A9" s="9">
        <v>46076</v>
      </c>
      <c r="B9" s="67" t="s">
        <v>105</v>
      </c>
      <c r="C9" s="67" t="s">
        <v>102</v>
      </c>
      <c r="D9" s="68">
        <v>15500</v>
      </c>
      <c r="E9" s="68">
        <v>15500</v>
      </c>
    </row>
    <row r="10" spans="1:5" ht="15" customHeight="1" x14ac:dyDescent="0.25">
      <c r="A10" s="9">
        <v>46076</v>
      </c>
      <c r="B10" s="67" t="s">
        <v>30</v>
      </c>
      <c r="C10" s="67" t="s">
        <v>28</v>
      </c>
      <c r="D10" s="68">
        <v>54620</v>
      </c>
      <c r="E10" s="68">
        <v>54620</v>
      </c>
    </row>
    <row r="11" spans="1:5" ht="15" customHeight="1" x14ac:dyDescent="0.25">
      <c r="A11" s="9">
        <v>46076</v>
      </c>
      <c r="B11" s="67" t="s">
        <v>31</v>
      </c>
      <c r="C11" s="67" t="s">
        <v>28</v>
      </c>
      <c r="D11" s="68">
        <v>83900.25</v>
      </c>
      <c r="E11" s="68">
        <v>83900.25</v>
      </c>
    </row>
    <row r="12" spans="1:5" ht="15" customHeight="1" x14ac:dyDescent="0.25">
      <c r="A12" s="9">
        <v>46076</v>
      </c>
      <c r="B12" s="67" t="s">
        <v>32</v>
      </c>
      <c r="C12" s="67" t="s">
        <v>28</v>
      </c>
      <c r="D12" s="68">
        <v>30880</v>
      </c>
      <c r="E12" s="68">
        <v>30880</v>
      </c>
    </row>
    <row r="13" spans="1:5" ht="15" customHeight="1" x14ac:dyDescent="0.25">
      <c r="A13" s="9">
        <v>46076</v>
      </c>
      <c r="B13" s="67" t="s">
        <v>33</v>
      </c>
      <c r="C13" s="67" t="s">
        <v>28</v>
      </c>
      <c r="D13" s="68">
        <v>50580</v>
      </c>
      <c r="E13" s="68">
        <v>50580</v>
      </c>
    </row>
    <row r="14" spans="1:5" ht="15" customHeight="1" x14ac:dyDescent="0.25">
      <c r="A14" s="9">
        <v>46076</v>
      </c>
      <c r="B14" s="67" t="s">
        <v>34</v>
      </c>
      <c r="C14" s="67" t="s">
        <v>28</v>
      </c>
      <c r="D14" s="68">
        <v>26460.28</v>
      </c>
      <c r="E14" s="68">
        <v>26460.28</v>
      </c>
    </row>
    <row r="15" spans="1:5" ht="15" customHeight="1" x14ac:dyDescent="0.25">
      <c r="A15" s="9">
        <v>46077</v>
      </c>
      <c r="B15" s="67" t="s">
        <v>63</v>
      </c>
      <c r="C15" s="67" t="s">
        <v>62</v>
      </c>
      <c r="D15" s="68">
        <v>12655.71</v>
      </c>
      <c r="E15" s="68">
        <v>12655.71</v>
      </c>
    </row>
    <row r="16" spans="1:5" ht="15" customHeight="1" x14ac:dyDescent="0.25">
      <c r="A16" s="9">
        <v>46078</v>
      </c>
      <c r="B16" s="67" t="s">
        <v>75</v>
      </c>
      <c r="C16" s="67" t="s">
        <v>71</v>
      </c>
      <c r="D16" s="68">
        <v>6900</v>
      </c>
      <c r="E16" s="68">
        <v>6900</v>
      </c>
    </row>
    <row r="17" spans="1:5" ht="15" customHeight="1" x14ac:dyDescent="0.25">
      <c r="A17" s="9">
        <v>46079</v>
      </c>
      <c r="B17" s="67" t="s">
        <v>76</v>
      </c>
      <c r="C17" s="67" t="s">
        <v>71</v>
      </c>
      <c r="D17" s="68">
        <v>39900.01</v>
      </c>
      <c r="E17" s="68">
        <v>39900.01</v>
      </c>
    </row>
    <row r="18" spans="1:5" ht="15" customHeight="1" x14ac:dyDescent="0.25">
      <c r="A18" s="9">
        <v>46079</v>
      </c>
      <c r="B18" s="67" t="s">
        <v>77</v>
      </c>
      <c r="C18" s="67" t="s">
        <v>71</v>
      </c>
      <c r="D18" s="68">
        <v>53375.01</v>
      </c>
      <c r="E18" s="68">
        <v>53375.01</v>
      </c>
    </row>
    <row r="19" spans="1:5" ht="15" customHeight="1" x14ac:dyDescent="0.25">
      <c r="A19" s="9">
        <v>46079</v>
      </c>
      <c r="B19" s="67" t="s">
        <v>35</v>
      </c>
      <c r="C19" s="67" t="s">
        <v>28</v>
      </c>
      <c r="D19" s="68">
        <v>43500</v>
      </c>
      <c r="E19" s="68">
        <v>43500</v>
      </c>
    </row>
    <row r="20" spans="1:5" ht="15" customHeight="1" x14ac:dyDescent="0.25">
      <c r="A20" s="9">
        <v>46079</v>
      </c>
      <c r="B20" s="67" t="s">
        <v>89</v>
      </c>
      <c r="C20" s="67" t="s">
        <v>90</v>
      </c>
      <c r="D20" s="68">
        <v>34550</v>
      </c>
      <c r="E20" s="68">
        <v>34550</v>
      </c>
    </row>
    <row r="21" spans="1:5" ht="15" customHeight="1" x14ac:dyDescent="0.25">
      <c r="A21" s="9">
        <v>46080</v>
      </c>
      <c r="B21" s="67" t="s">
        <v>36</v>
      </c>
      <c r="C21" s="67" t="s">
        <v>28</v>
      </c>
      <c r="D21" s="68">
        <v>26460.29</v>
      </c>
      <c r="E21" s="68">
        <v>26460.29</v>
      </c>
    </row>
    <row r="22" spans="1:5" ht="15" customHeight="1" x14ac:dyDescent="0.25">
      <c r="A22" s="9">
        <v>46080</v>
      </c>
      <c r="B22" s="67" t="s">
        <v>302</v>
      </c>
      <c r="C22" s="67" t="s">
        <v>28</v>
      </c>
      <c r="D22" s="68">
        <v>2691.16</v>
      </c>
      <c r="E22" s="68">
        <v>2691.16</v>
      </c>
    </row>
    <row r="23" spans="1:5" ht="15" customHeight="1" x14ac:dyDescent="0.25">
      <c r="A23" s="9">
        <v>46083</v>
      </c>
      <c r="B23" s="67" t="s">
        <v>251</v>
      </c>
      <c r="C23" s="67" t="s">
        <v>0</v>
      </c>
      <c r="D23" s="68">
        <v>24750.17</v>
      </c>
      <c r="E23" s="68">
        <v>24750.17</v>
      </c>
    </row>
    <row r="24" spans="1:5" ht="15" customHeight="1" x14ac:dyDescent="0.25">
      <c r="A24" s="9">
        <v>46083</v>
      </c>
      <c r="B24" s="67" t="s">
        <v>255</v>
      </c>
      <c r="C24" s="67" t="s">
        <v>102</v>
      </c>
      <c r="D24" s="68">
        <v>48706.64</v>
      </c>
      <c r="E24" s="68">
        <v>48706.64</v>
      </c>
    </row>
    <row r="25" spans="1:5" ht="15" customHeight="1" x14ac:dyDescent="0.25">
      <c r="A25" s="9">
        <v>46085</v>
      </c>
      <c r="B25" s="67" t="s">
        <v>338</v>
      </c>
      <c r="C25" s="67" t="s">
        <v>71</v>
      </c>
      <c r="D25" s="68">
        <v>14221.48</v>
      </c>
      <c r="E25" s="68">
        <v>14221.48</v>
      </c>
    </row>
    <row r="26" spans="1:5" ht="15" customHeight="1" x14ac:dyDescent="0.25">
      <c r="A26" s="9">
        <v>46087</v>
      </c>
      <c r="B26" s="67" t="s">
        <v>339</v>
      </c>
      <c r="C26" s="67" t="s">
        <v>71</v>
      </c>
      <c r="D26" s="68">
        <v>47475.02</v>
      </c>
      <c r="E26" s="68">
        <v>47475.02</v>
      </c>
    </row>
    <row r="27" spans="1:5" ht="15" customHeight="1" x14ac:dyDescent="0.25">
      <c r="A27" s="9">
        <v>46087</v>
      </c>
      <c r="B27" s="67" t="s">
        <v>340</v>
      </c>
      <c r="C27" s="67" t="s">
        <v>71</v>
      </c>
      <c r="D27" s="68">
        <v>23550</v>
      </c>
      <c r="E27" s="68">
        <v>23550</v>
      </c>
    </row>
    <row r="28" spans="1:5" ht="15" customHeight="1" x14ac:dyDescent="0.25">
      <c r="A28" s="9">
        <v>46087</v>
      </c>
      <c r="B28" s="67" t="s">
        <v>341</v>
      </c>
      <c r="C28" s="67" t="s">
        <v>71</v>
      </c>
      <c r="D28" s="68">
        <v>18668</v>
      </c>
      <c r="E28" s="68">
        <v>18668</v>
      </c>
    </row>
    <row r="29" spans="1:5" ht="15" customHeight="1" x14ac:dyDescent="0.25">
      <c r="A29" s="9">
        <v>46090</v>
      </c>
      <c r="B29" s="67" t="s">
        <v>1</v>
      </c>
      <c r="C29" s="67" t="s">
        <v>0</v>
      </c>
      <c r="D29" s="68">
        <v>76599.78</v>
      </c>
      <c r="E29" s="68">
        <v>76599.78</v>
      </c>
    </row>
    <row r="30" spans="1:5" ht="15" customHeight="1" x14ac:dyDescent="0.25">
      <c r="A30" s="9">
        <v>46090</v>
      </c>
      <c r="B30" s="67" t="s">
        <v>37</v>
      </c>
      <c r="C30" s="67" t="s">
        <v>28</v>
      </c>
      <c r="D30" s="68">
        <v>32322.46</v>
      </c>
      <c r="E30" s="68">
        <v>32322.46</v>
      </c>
    </row>
    <row r="31" spans="1:5" ht="15" customHeight="1" x14ac:dyDescent="0.25">
      <c r="A31" s="9">
        <v>46090</v>
      </c>
      <c r="B31" s="67" t="s">
        <v>275</v>
      </c>
      <c r="C31" s="67" t="s">
        <v>28</v>
      </c>
      <c r="D31" s="68">
        <v>31246.77</v>
      </c>
      <c r="E31" s="68">
        <v>31246.77</v>
      </c>
    </row>
    <row r="32" spans="1:5" ht="15" customHeight="1" x14ac:dyDescent="0.25">
      <c r="A32" s="9">
        <v>46090</v>
      </c>
      <c r="B32" s="67" t="s">
        <v>279</v>
      </c>
      <c r="C32" s="67" t="s">
        <v>28</v>
      </c>
      <c r="D32" s="68">
        <v>65922.100000000006</v>
      </c>
      <c r="E32" s="68">
        <v>65922.100000000006</v>
      </c>
    </row>
    <row r="33" spans="1:5" ht="15" customHeight="1" x14ac:dyDescent="0.25">
      <c r="A33" s="9">
        <v>46090</v>
      </c>
      <c r="B33" s="67" t="s">
        <v>38</v>
      </c>
      <c r="C33" s="67" t="s">
        <v>28</v>
      </c>
      <c r="D33" s="68">
        <v>30586.42</v>
      </c>
      <c r="E33" s="68">
        <v>30586.42</v>
      </c>
    </row>
    <row r="34" spans="1:5" ht="15" customHeight="1" x14ac:dyDescent="0.25">
      <c r="A34" s="9">
        <v>46094</v>
      </c>
      <c r="B34" s="67" t="s">
        <v>91</v>
      </c>
      <c r="C34" s="67" t="s">
        <v>90</v>
      </c>
      <c r="D34" s="68">
        <v>34550</v>
      </c>
      <c r="E34" s="68">
        <v>34550</v>
      </c>
    </row>
    <row r="35" spans="1:5" ht="15" customHeight="1" x14ac:dyDescent="0.25">
      <c r="A35" s="9">
        <v>46094</v>
      </c>
      <c r="B35" s="67" t="s">
        <v>283</v>
      </c>
      <c r="C35" s="67" t="s">
        <v>28</v>
      </c>
      <c r="D35" s="68">
        <v>3565.75</v>
      </c>
      <c r="E35" s="68">
        <v>3565.75</v>
      </c>
    </row>
    <row r="36" spans="1:5" ht="15" customHeight="1" x14ac:dyDescent="0.25">
      <c r="A36" s="9">
        <v>46094</v>
      </c>
      <c r="B36" s="67" t="s">
        <v>284</v>
      </c>
      <c r="C36" s="67" t="s">
        <v>28</v>
      </c>
      <c r="D36" s="68">
        <v>9395.01</v>
      </c>
      <c r="E36" s="68">
        <v>9395.01</v>
      </c>
    </row>
    <row r="37" spans="1:5" ht="15" customHeight="1" x14ac:dyDescent="0.25">
      <c r="A37" s="9">
        <v>46094</v>
      </c>
      <c r="B37" s="67" t="s">
        <v>291</v>
      </c>
      <c r="C37" s="67" t="s">
        <v>28</v>
      </c>
      <c r="D37" s="68">
        <v>5616.79</v>
      </c>
      <c r="E37" s="68">
        <v>5616.79</v>
      </c>
    </row>
    <row r="38" spans="1:5" ht="15" customHeight="1" x14ac:dyDescent="0.25">
      <c r="A38" s="9">
        <v>46097</v>
      </c>
      <c r="B38" s="67" t="s">
        <v>287</v>
      </c>
      <c r="C38" s="67" t="s">
        <v>28</v>
      </c>
      <c r="D38" s="68">
        <v>33033.72</v>
      </c>
      <c r="E38" s="68">
        <v>33033.72</v>
      </c>
    </row>
    <row r="39" spans="1:5" ht="15" customHeight="1" x14ac:dyDescent="0.25">
      <c r="A39" s="9">
        <v>46097</v>
      </c>
      <c r="B39" s="67" t="s">
        <v>294</v>
      </c>
      <c r="C39" s="67" t="s">
        <v>28</v>
      </c>
      <c r="D39" s="68">
        <v>48973.83</v>
      </c>
      <c r="E39" s="68">
        <v>48973.83</v>
      </c>
    </row>
    <row r="40" spans="1:5" ht="15" customHeight="1" x14ac:dyDescent="0.25">
      <c r="A40" s="9">
        <v>46097</v>
      </c>
      <c r="B40" s="67" t="s">
        <v>298</v>
      </c>
      <c r="C40" s="67" t="s">
        <v>28</v>
      </c>
      <c r="D40" s="68">
        <v>99251.89</v>
      </c>
      <c r="E40" s="68">
        <v>99251.89</v>
      </c>
    </row>
    <row r="41" spans="1:5" ht="15" customHeight="1" x14ac:dyDescent="0.25">
      <c r="A41" s="9">
        <v>46097</v>
      </c>
      <c r="B41" s="67" t="s">
        <v>303</v>
      </c>
      <c r="C41" s="67" t="s">
        <v>28</v>
      </c>
      <c r="D41" s="68">
        <v>46400.91</v>
      </c>
      <c r="E41" s="68">
        <v>46400.91</v>
      </c>
    </row>
    <row r="42" spans="1:5" ht="15" customHeight="1" x14ac:dyDescent="0.25">
      <c r="A42" s="9">
        <v>46097</v>
      </c>
      <c r="B42" s="67" t="s">
        <v>342</v>
      </c>
      <c r="C42" s="67" t="s">
        <v>0</v>
      </c>
      <c r="D42" s="68">
        <v>70282.899999999994</v>
      </c>
      <c r="E42" s="68">
        <v>70282.899999999994</v>
      </c>
    </row>
    <row r="43" spans="1:5" ht="15" customHeight="1" x14ac:dyDescent="0.25">
      <c r="A43" s="9">
        <v>46097</v>
      </c>
      <c r="B43" s="67" t="s">
        <v>343</v>
      </c>
      <c r="C43" s="67" t="s">
        <v>7</v>
      </c>
      <c r="D43" s="68">
        <v>60476.87</v>
      </c>
      <c r="E43" s="68">
        <v>60476.87</v>
      </c>
    </row>
    <row r="44" spans="1:5" ht="15" customHeight="1" x14ac:dyDescent="0.25">
      <c r="A44" s="9">
        <v>46097</v>
      </c>
      <c r="B44" s="67" t="s">
        <v>289</v>
      </c>
      <c r="C44" s="67" t="s">
        <v>28</v>
      </c>
      <c r="D44" s="68">
        <v>26530.17</v>
      </c>
      <c r="E44" s="68">
        <v>26530.17</v>
      </c>
    </row>
    <row r="45" spans="1:5" ht="15" customHeight="1" x14ac:dyDescent="0.25">
      <c r="A45" s="9">
        <v>46098</v>
      </c>
      <c r="B45" s="67" t="s">
        <v>39</v>
      </c>
      <c r="C45" s="67" t="s">
        <v>28</v>
      </c>
      <c r="D45" s="68">
        <v>8193</v>
      </c>
      <c r="E45" s="68">
        <v>8193</v>
      </c>
    </row>
    <row r="46" spans="1:5" ht="15" customHeight="1" x14ac:dyDescent="0.25">
      <c r="A46" s="9">
        <v>46099</v>
      </c>
      <c r="B46" s="67" t="s">
        <v>106</v>
      </c>
      <c r="C46" s="67" t="s">
        <v>102</v>
      </c>
      <c r="D46" s="68">
        <v>48268.53</v>
      </c>
      <c r="E46" s="68">
        <v>48268.53</v>
      </c>
    </row>
    <row r="47" spans="1:5" ht="15" customHeight="1" x14ac:dyDescent="0.25">
      <c r="A47" s="9">
        <v>46104</v>
      </c>
      <c r="B47" s="67" t="s">
        <v>107</v>
      </c>
      <c r="C47" s="67" t="s">
        <v>102</v>
      </c>
      <c r="D47" s="68">
        <v>47582.9</v>
      </c>
      <c r="E47" s="68">
        <v>47582.9</v>
      </c>
    </row>
    <row r="48" spans="1:5" ht="15" customHeight="1" x14ac:dyDescent="0.25">
      <c r="A48" s="9">
        <v>46104</v>
      </c>
      <c r="B48" s="67" t="s">
        <v>78</v>
      </c>
      <c r="C48" s="67" t="s">
        <v>71</v>
      </c>
      <c r="D48" s="68">
        <v>85493.34</v>
      </c>
      <c r="E48" s="68">
        <v>85493.34</v>
      </c>
    </row>
    <row r="49" spans="1:5" ht="15" customHeight="1" x14ac:dyDescent="0.25">
      <c r="A49" s="9">
        <v>46104</v>
      </c>
      <c r="B49" s="67" t="s">
        <v>108</v>
      </c>
      <c r="C49" s="67" t="s">
        <v>102</v>
      </c>
      <c r="D49" s="68">
        <v>48706.64</v>
      </c>
      <c r="E49" s="68">
        <v>48706.64</v>
      </c>
    </row>
    <row r="50" spans="1:5" ht="15" customHeight="1" x14ac:dyDescent="0.25">
      <c r="A50" s="9">
        <v>46104</v>
      </c>
      <c r="B50" s="67" t="s">
        <v>79</v>
      </c>
      <c r="C50" s="67" t="s">
        <v>71</v>
      </c>
      <c r="D50" s="68">
        <v>46515</v>
      </c>
      <c r="E50" s="68">
        <v>46515</v>
      </c>
    </row>
    <row r="51" spans="1:5" ht="15" customHeight="1" x14ac:dyDescent="0.25">
      <c r="A51" s="9">
        <v>46104</v>
      </c>
      <c r="B51" s="67" t="s">
        <v>109</v>
      </c>
      <c r="C51" s="67" t="s">
        <v>102</v>
      </c>
      <c r="D51" s="68">
        <v>15500</v>
      </c>
      <c r="E51" s="68">
        <v>15500</v>
      </c>
    </row>
    <row r="52" spans="1:5" ht="15" customHeight="1" x14ac:dyDescent="0.25">
      <c r="A52" s="9">
        <v>46105</v>
      </c>
      <c r="B52" s="67" t="s">
        <v>40</v>
      </c>
      <c r="C52" s="67" t="s">
        <v>28</v>
      </c>
      <c r="D52" s="68">
        <v>54620</v>
      </c>
      <c r="E52" s="68">
        <v>54620</v>
      </c>
    </row>
    <row r="53" spans="1:5" ht="15" customHeight="1" x14ac:dyDescent="0.25">
      <c r="A53" s="9">
        <v>46105</v>
      </c>
      <c r="B53" s="67" t="s">
        <v>41</v>
      </c>
      <c r="C53" s="67" t="s">
        <v>28</v>
      </c>
      <c r="D53" s="68">
        <v>83900.25</v>
      </c>
      <c r="E53" s="68">
        <v>83900.25</v>
      </c>
    </row>
    <row r="54" spans="1:5" ht="15" customHeight="1" x14ac:dyDescent="0.25">
      <c r="A54" s="9">
        <v>46105</v>
      </c>
      <c r="B54" s="67" t="s">
        <v>42</v>
      </c>
      <c r="C54" s="67" t="s">
        <v>28</v>
      </c>
      <c r="D54" s="68">
        <v>30880</v>
      </c>
      <c r="E54" s="68">
        <v>30880</v>
      </c>
    </row>
    <row r="55" spans="1:5" ht="15" customHeight="1" x14ac:dyDescent="0.25">
      <c r="A55" s="9">
        <v>46105</v>
      </c>
      <c r="B55" s="67" t="s">
        <v>43</v>
      </c>
      <c r="C55" s="67" t="s">
        <v>28</v>
      </c>
      <c r="D55" s="68">
        <v>50580</v>
      </c>
      <c r="E55" s="68">
        <v>50580</v>
      </c>
    </row>
    <row r="56" spans="1:5" ht="15" customHeight="1" x14ac:dyDescent="0.25">
      <c r="A56" s="9">
        <v>46105</v>
      </c>
      <c r="B56" s="67" t="s">
        <v>44</v>
      </c>
      <c r="C56" s="67" t="s">
        <v>28</v>
      </c>
      <c r="D56" s="68">
        <v>23542.720000000001</v>
      </c>
      <c r="E56" s="68">
        <v>23542.720000000001</v>
      </c>
    </row>
    <row r="57" spans="1:5" ht="15" customHeight="1" x14ac:dyDescent="0.25">
      <c r="A57" s="9">
        <v>46111</v>
      </c>
      <c r="B57" s="67" t="s">
        <v>80</v>
      </c>
      <c r="C57" s="67" t="s">
        <v>71</v>
      </c>
      <c r="D57" s="68">
        <v>39900</v>
      </c>
      <c r="E57" s="68">
        <v>39900</v>
      </c>
    </row>
    <row r="58" spans="1:5" ht="15" customHeight="1" x14ac:dyDescent="0.25">
      <c r="A58" s="9">
        <v>46111</v>
      </c>
      <c r="B58" s="67" t="s">
        <v>81</v>
      </c>
      <c r="C58" s="67" t="s">
        <v>71</v>
      </c>
      <c r="D58" s="68">
        <v>53375</v>
      </c>
      <c r="E58" s="68">
        <v>53375</v>
      </c>
    </row>
    <row r="59" spans="1:5" ht="15" customHeight="1" x14ac:dyDescent="0.25">
      <c r="A59" s="9">
        <v>46111</v>
      </c>
      <c r="B59" s="67" t="s">
        <v>45</v>
      </c>
      <c r="C59" s="67" t="s">
        <v>28</v>
      </c>
      <c r="D59" s="68">
        <v>43500</v>
      </c>
      <c r="E59" s="68">
        <v>43500</v>
      </c>
    </row>
    <row r="60" spans="1:5" ht="15" customHeight="1" x14ac:dyDescent="0.25">
      <c r="A60" s="9">
        <v>46111</v>
      </c>
      <c r="B60" s="67" t="s">
        <v>252</v>
      </c>
      <c r="C60" s="67" t="s">
        <v>0</v>
      </c>
      <c r="D60" s="68">
        <v>19149.95</v>
      </c>
      <c r="E60" s="68">
        <v>19149.95</v>
      </c>
    </row>
    <row r="61" spans="1:5" ht="15" customHeight="1" x14ac:dyDescent="0.25">
      <c r="A61" s="9">
        <v>46111</v>
      </c>
      <c r="B61" s="67" t="s">
        <v>256</v>
      </c>
      <c r="C61" s="67" t="s">
        <v>102</v>
      </c>
      <c r="D61" s="68">
        <v>48706.64</v>
      </c>
      <c r="E61" s="68">
        <v>48706.64</v>
      </c>
    </row>
    <row r="62" spans="1:5" ht="15" customHeight="1" x14ac:dyDescent="0.25">
      <c r="A62" s="9">
        <v>46111</v>
      </c>
      <c r="B62" s="67" t="s">
        <v>46</v>
      </c>
      <c r="C62" s="67" t="s">
        <v>28</v>
      </c>
      <c r="D62" s="68">
        <v>23542.73</v>
      </c>
      <c r="E62" s="68">
        <v>23542.73</v>
      </c>
    </row>
    <row r="63" spans="1:5" ht="15" customHeight="1" x14ac:dyDescent="0.25">
      <c r="A63" s="9">
        <v>46118</v>
      </c>
      <c r="B63" s="67" t="s">
        <v>344</v>
      </c>
      <c r="C63" s="67" t="s">
        <v>71</v>
      </c>
      <c r="D63" s="68">
        <v>47475</v>
      </c>
      <c r="E63" s="68">
        <v>47475</v>
      </c>
    </row>
    <row r="64" spans="1:5" ht="15" customHeight="1" x14ac:dyDescent="0.25">
      <c r="A64" s="9">
        <v>46118</v>
      </c>
      <c r="B64" s="67" t="s">
        <v>345</v>
      </c>
      <c r="C64" s="67" t="s">
        <v>71</v>
      </c>
      <c r="D64" s="68">
        <v>23550</v>
      </c>
      <c r="E64" s="68">
        <v>23550</v>
      </c>
    </row>
    <row r="65" spans="1:5" ht="15" customHeight="1" x14ac:dyDescent="0.25">
      <c r="A65" s="9">
        <v>46118</v>
      </c>
      <c r="B65" s="67" t="s">
        <v>346</v>
      </c>
      <c r="C65" s="67" t="s">
        <v>71</v>
      </c>
      <c r="D65" s="68">
        <v>18668</v>
      </c>
      <c r="E65" s="68">
        <v>18668</v>
      </c>
    </row>
    <row r="66" spans="1:5" ht="15" customHeight="1" x14ac:dyDescent="0.25">
      <c r="A66" s="9">
        <v>46119</v>
      </c>
      <c r="B66" s="67" t="s">
        <v>4</v>
      </c>
      <c r="C66" s="67" t="s">
        <v>0</v>
      </c>
      <c r="D66" s="68">
        <v>76599.789999999994</v>
      </c>
      <c r="E66" s="68">
        <v>76599.789999999994</v>
      </c>
    </row>
    <row r="67" spans="1:5" ht="15" customHeight="1" x14ac:dyDescent="0.25">
      <c r="A67" s="9">
        <v>46119</v>
      </c>
      <c r="B67" s="67" t="s">
        <v>276</v>
      </c>
      <c r="C67" s="67" t="s">
        <v>28</v>
      </c>
      <c r="D67" s="68">
        <v>27584.75</v>
      </c>
      <c r="E67" s="68">
        <v>27584.75</v>
      </c>
    </row>
    <row r="68" spans="1:5" ht="15" customHeight="1" x14ac:dyDescent="0.25">
      <c r="A68" s="9">
        <v>46119</v>
      </c>
      <c r="B68" s="67" t="s">
        <v>280</v>
      </c>
      <c r="C68" s="67" t="s">
        <v>28</v>
      </c>
      <c r="D68" s="68">
        <v>58026.63</v>
      </c>
      <c r="E68" s="68">
        <v>58026.63</v>
      </c>
    </row>
    <row r="69" spans="1:5" ht="15" customHeight="1" x14ac:dyDescent="0.25">
      <c r="A69" s="9">
        <v>46125</v>
      </c>
      <c r="B69" s="67" t="s">
        <v>285</v>
      </c>
      <c r="C69" s="67" t="s">
        <v>28</v>
      </c>
      <c r="D69" s="68">
        <v>9001.51</v>
      </c>
      <c r="E69" s="68">
        <v>9001.51</v>
      </c>
    </row>
    <row r="70" spans="1:5" ht="15" customHeight="1" x14ac:dyDescent="0.25">
      <c r="A70" s="9">
        <v>46125</v>
      </c>
      <c r="B70" s="67" t="s">
        <v>288</v>
      </c>
      <c r="C70" s="67" t="s">
        <v>28</v>
      </c>
      <c r="D70" s="68">
        <v>26966.29</v>
      </c>
      <c r="E70" s="68">
        <v>26966.29</v>
      </c>
    </row>
    <row r="71" spans="1:5" ht="15" customHeight="1" x14ac:dyDescent="0.25">
      <c r="A71" s="9">
        <v>46125</v>
      </c>
      <c r="B71" s="67" t="s">
        <v>295</v>
      </c>
      <c r="C71" s="67" t="s">
        <v>28</v>
      </c>
      <c r="D71" s="68">
        <v>37344.720000000001</v>
      </c>
      <c r="E71" s="68">
        <v>37344.720000000001</v>
      </c>
    </row>
    <row r="72" spans="1:5" ht="15" customHeight="1" x14ac:dyDescent="0.25">
      <c r="A72" s="9">
        <v>46125</v>
      </c>
      <c r="B72" s="67" t="s">
        <v>299</v>
      </c>
      <c r="C72" s="67" t="s">
        <v>28</v>
      </c>
      <c r="D72" s="68">
        <v>88117.04</v>
      </c>
      <c r="E72" s="68">
        <v>88117.04</v>
      </c>
    </row>
    <row r="73" spans="1:5" ht="15" customHeight="1" x14ac:dyDescent="0.25">
      <c r="A73" s="9">
        <v>46125</v>
      </c>
      <c r="B73" s="67" t="s">
        <v>290</v>
      </c>
      <c r="C73" s="67" t="s">
        <v>28</v>
      </c>
      <c r="D73" s="68">
        <v>26101.59</v>
      </c>
      <c r="E73" s="68">
        <v>26101.59</v>
      </c>
    </row>
    <row r="74" spans="1:5" ht="15" customHeight="1" x14ac:dyDescent="0.25">
      <c r="A74" s="9">
        <v>46125</v>
      </c>
      <c r="B74" s="67" t="s">
        <v>292</v>
      </c>
      <c r="C74" s="67" t="s">
        <v>28</v>
      </c>
      <c r="D74" s="68">
        <v>5481.88</v>
      </c>
      <c r="E74" s="68">
        <v>5481.88</v>
      </c>
    </row>
    <row r="75" spans="1:5" ht="15" customHeight="1" x14ac:dyDescent="0.25">
      <c r="A75" s="9">
        <v>46126</v>
      </c>
      <c r="B75" s="67" t="s">
        <v>304</v>
      </c>
      <c r="C75" s="67" t="s">
        <v>28</v>
      </c>
      <c r="D75" s="68">
        <v>35200.370000000003</v>
      </c>
      <c r="E75" s="68">
        <v>35200.370000000003</v>
      </c>
    </row>
    <row r="76" spans="1:5" ht="15" customHeight="1" x14ac:dyDescent="0.25">
      <c r="A76" s="9">
        <v>46126</v>
      </c>
      <c r="B76" s="67" t="s">
        <v>347</v>
      </c>
      <c r="C76" s="67" t="s">
        <v>0</v>
      </c>
      <c r="D76" s="68">
        <v>62823.040000000001</v>
      </c>
      <c r="E76" s="68">
        <v>62823.040000000001</v>
      </c>
    </row>
    <row r="77" spans="1:5" ht="15" customHeight="1" x14ac:dyDescent="0.25">
      <c r="A77" s="9">
        <v>46126</v>
      </c>
      <c r="B77" s="67" t="s">
        <v>348</v>
      </c>
      <c r="C77" s="67" t="s">
        <v>7</v>
      </c>
      <c r="D77" s="68">
        <v>53841.05</v>
      </c>
      <c r="E77" s="68">
        <v>53841.05</v>
      </c>
    </row>
    <row r="78" spans="1:5" ht="15" customHeight="1" x14ac:dyDescent="0.25">
      <c r="A78" s="9">
        <v>46129</v>
      </c>
      <c r="B78" s="67" t="s">
        <v>110</v>
      </c>
      <c r="C78" s="67" t="s">
        <v>102</v>
      </c>
      <c r="D78" s="68">
        <v>48268.54</v>
      </c>
      <c r="E78" s="68">
        <v>48268.54</v>
      </c>
    </row>
    <row r="79" spans="1:5" ht="15" customHeight="1" x14ac:dyDescent="0.25">
      <c r="A79" s="9">
        <v>46133</v>
      </c>
      <c r="B79" s="67" t="s">
        <v>111</v>
      </c>
      <c r="C79" s="67" t="s">
        <v>102</v>
      </c>
      <c r="D79" s="68">
        <v>47582.9</v>
      </c>
      <c r="E79" s="68">
        <v>47582.9</v>
      </c>
    </row>
    <row r="80" spans="1:5" ht="15" customHeight="1" x14ac:dyDescent="0.25">
      <c r="A80" s="9">
        <v>46133</v>
      </c>
      <c r="B80" s="67" t="s">
        <v>82</v>
      </c>
      <c r="C80" s="67" t="s">
        <v>71</v>
      </c>
      <c r="D80" s="68">
        <v>85493.34</v>
      </c>
      <c r="E80" s="68">
        <v>85493.34</v>
      </c>
    </row>
    <row r="81" spans="1:5" ht="15" customHeight="1" x14ac:dyDescent="0.25">
      <c r="A81" s="9">
        <v>46134</v>
      </c>
      <c r="B81" s="67" t="s">
        <v>112</v>
      </c>
      <c r="C81" s="67" t="s">
        <v>102</v>
      </c>
      <c r="D81" s="68">
        <v>48706.64</v>
      </c>
      <c r="E81" s="68">
        <v>48706.64</v>
      </c>
    </row>
    <row r="82" spans="1:5" ht="15" customHeight="1" x14ac:dyDescent="0.25">
      <c r="A82" s="9">
        <v>46135</v>
      </c>
      <c r="B82" s="67" t="s">
        <v>47</v>
      </c>
      <c r="C82" s="67" t="s">
        <v>28</v>
      </c>
      <c r="D82" s="68">
        <v>54620</v>
      </c>
      <c r="E82" s="68">
        <v>54620</v>
      </c>
    </row>
    <row r="83" spans="1:5" ht="15" customHeight="1" x14ac:dyDescent="0.25">
      <c r="A83" s="9">
        <v>46135</v>
      </c>
      <c r="B83" s="67" t="s">
        <v>48</v>
      </c>
      <c r="C83" s="67" t="s">
        <v>28</v>
      </c>
      <c r="D83" s="68">
        <v>83900.25</v>
      </c>
      <c r="E83" s="68">
        <v>83900.25</v>
      </c>
    </row>
    <row r="84" spans="1:5" ht="15" customHeight="1" x14ac:dyDescent="0.25">
      <c r="A84" s="9">
        <v>46135</v>
      </c>
      <c r="B84" s="67" t="s">
        <v>49</v>
      </c>
      <c r="C84" s="67" t="s">
        <v>28</v>
      </c>
      <c r="D84" s="68">
        <v>30880</v>
      </c>
      <c r="E84" s="68">
        <v>30880</v>
      </c>
    </row>
    <row r="85" spans="1:5" ht="15" customHeight="1" x14ac:dyDescent="0.25">
      <c r="A85" s="9">
        <v>46135</v>
      </c>
      <c r="B85" s="67" t="s">
        <v>50</v>
      </c>
      <c r="C85" s="67" t="s">
        <v>28</v>
      </c>
      <c r="D85" s="68">
        <v>50580</v>
      </c>
      <c r="E85" s="68">
        <v>50580</v>
      </c>
    </row>
    <row r="86" spans="1:5" ht="15" customHeight="1" x14ac:dyDescent="0.25">
      <c r="A86" s="9">
        <v>46139</v>
      </c>
      <c r="B86" s="67" t="s">
        <v>83</v>
      </c>
      <c r="C86" s="67" t="s">
        <v>71</v>
      </c>
      <c r="D86" s="68">
        <v>39900</v>
      </c>
      <c r="E86" s="68">
        <v>39900</v>
      </c>
    </row>
    <row r="87" spans="1:5" ht="15" customHeight="1" x14ac:dyDescent="0.25">
      <c r="A87" s="9">
        <v>46139</v>
      </c>
      <c r="B87" s="67" t="s">
        <v>84</v>
      </c>
      <c r="C87" s="67" t="s">
        <v>71</v>
      </c>
      <c r="D87" s="68">
        <v>53375</v>
      </c>
      <c r="E87" s="68">
        <v>53375</v>
      </c>
    </row>
    <row r="88" spans="1:5" ht="15" customHeight="1" x14ac:dyDescent="0.25">
      <c r="A88" s="9">
        <v>46139</v>
      </c>
      <c r="B88" s="67" t="s">
        <v>51</v>
      </c>
      <c r="C88" s="67" t="s">
        <v>28</v>
      </c>
      <c r="D88" s="68">
        <v>43500</v>
      </c>
      <c r="E88" s="68">
        <v>43500</v>
      </c>
    </row>
    <row r="89" spans="1:5" ht="15" customHeight="1" x14ac:dyDescent="0.25">
      <c r="A89" s="9">
        <v>46141</v>
      </c>
      <c r="B89" s="67" t="s">
        <v>253</v>
      </c>
      <c r="C89" s="67" t="s">
        <v>0</v>
      </c>
      <c r="D89" s="68">
        <v>19149.95</v>
      </c>
      <c r="E89" s="68">
        <v>19149.95</v>
      </c>
    </row>
    <row r="90" spans="1:5" ht="15" customHeight="1" x14ac:dyDescent="0.25">
      <c r="A90" s="9">
        <v>46141</v>
      </c>
      <c r="B90" s="67" t="s">
        <v>257</v>
      </c>
      <c r="C90" s="67" t="s">
        <v>102</v>
      </c>
      <c r="D90" s="68">
        <v>48706.64</v>
      </c>
      <c r="E90" s="68">
        <v>48706.64</v>
      </c>
    </row>
    <row r="91" spans="1:5" ht="15" customHeight="1" x14ac:dyDescent="0.25">
      <c r="A91" s="9">
        <v>46147</v>
      </c>
      <c r="B91" s="67" t="s">
        <v>349</v>
      </c>
      <c r="C91" s="67" t="s">
        <v>71</v>
      </c>
      <c r="D91" s="68">
        <v>47475</v>
      </c>
      <c r="E91" s="68">
        <v>47475</v>
      </c>
    </row>
    <row r="92" spans="1:5" ht="15" customHeight="1" x14ac:dyDescent="0.25">
      <c r="A92" s="9">
        <v>46147</v>
      </c>
      <c r="B92" s="67" t="s">
        <v>350</v>
      </c>
      <c r="C92" s="67" t="s">
        <v>71</v>
      </c>
      <c r="D92" s="68">
        <v>23550</v>
      </c>
      <c r="E92" s="68">
        <v>23550</v>
      </c>
    </row>
    <row r="93" spans="1:5" ht="15" customHeight="1" x14ac:dyDescent="0.25">
      <c r="A93" s="9">
        <v>46147</v>
      </c>
      <c r="B93" s="67" t="s">
        <v>351</v>
      </c>
      <c r="C93" s="67" t="s">
        <v>71</v>
      </c>
      <c r="D93" s="68">
        <v>18666</v>
      </c>
      <c r="E93" s="68">
        <v>18666</v>
      </c>
    </row>
    <row r="94" spans="1:5" ht="15" customHeight="1" x14ac:dyDescent="0.25">
      <c r="A94" s="9">
        <v>46149</v>
      </c>
      <c r="B94" s="67" t="s">
        <v>277</v>
      </c>
      <c r="C94" s="67" t="s">
        <v>28</v>
      </c>
      <c r="D94" s="68">
        <v>27584.75</v>
      </c>
      <c r="E94" s="68">
        <v>27584.75</v>
      </c>
    </row>
    <row r="95" spans="1:5" ht="15" customHeight="1" x14ac:dyDescent="0.25">
      <c r="A95" s="9">
        <v>46149</v>
      </c>
      <c r="B95" s="67" t="s">
        <v>281</v>
      </c>
      <c r="C95" s="67" t="s">
        <v>28</v>
      </c>
      <c r="D95" s="68">
        <v>58026.63</v>
      </c>
      <c r="E95" s="68">
        <v>58026.63</v>
      </c>
    </row>
    <row r="96" spans="1:5" ht="15" customHeight="1" x14ac:dyDescent="0.25">
      <c r="A96" s="9">
        <v>46154</v>
      </c>
      <c r="B96" s="67" t="s">
        <v>286</v>
      </c>
      <c r="C96" s="67" t="s">
        <v>28</v>
      </c>
      <c r="D96" s="68">
        <v>9001.51</v>
      </c>
      <c r="E96" s="68">
        <v>9001.51</v>
      </c>
    </row>
    <row r="97" spans="1:5" ht="15" customHeight="1" x14ac:dyDescent="0.25">
      <c r="A97" s="9">
        <v>46154</v>
      </c>
      <c r="B97" s="67" t="s">
        <v>293</v>
      </c>
      <c r="C97" s="67" t="s">
        <v>28</v>
      </c>
      <c r="D97" s="68">
        <v>5481.89</v>
      </c>
      <c r="E97" s="68">
        <v>5481.89</v>
      </c>
    </row>
    <row r="98" spans="1:5" ht="15" customHeight="1" x14ac:dyDescent="0.25">
      <c r="A98" s="9">
        <v>46155</v>
      </c>
      <c r="B98" s="67" t="s">
        <v>296</v>
      </c>
      <c r="C98" s="67" t="s">
        <v>28</v>
      </c>
      <c r="D98" s="68">
        <v>37344.720000000001</v>
      </c>
      <c r="E98" s="68">
        <v>37344.720000000001</v>
      </c>
    </row>
    <row r="99" spans="1:5" ht="15" customHeight="1" x14ac:dyDescent="0.25">
      <c r="A99" s="9">
        <v>46155</v>
      </c>
      <c r="B99" s="67" t="s">
        <v>300</v>
      </c>
      <c r="C99" s="67" t="s">
        <v>28</v>
      </c>
      <c r="D99" s="68">
        <v>88117.04</v>
      </c>
      <c r="E99" s="68">
        <v>88117.04</v>
      </c>
    </row>
    <row r="100" spans="1:5" ht="15" customHeight="1" x14ac:dyDescent="0.25">
      <c r="A100" s="9">
        <v>46156</v>
      </c>
      <c r="B100" s="67" t="s">
        <v>305</v>
      </c>
      <c r="C100" s="67" t="s">
        <v>28</v>
      </c>
      <c r="D100" s="68">
        <v>35200.370000000003</v>
      </c>
      <c r="E100" s="68">
        <v>35200.370000000003</v>
      </c>
    </row>
    <row r="101" spans="1:5" ht="15" customHeight="1" x14ac:dyDescent="0.25">
      <c r="A101" s="9">
        <v>46156</v>
      </c>
      <c r="B101" s="67" t="s">
        <v>352</v>
      </c>
      <c r="C101" s="67" t="s">
        <v>0</v>
      </c>
      <c r="D101" s="68">
        <v>62823.040000000001</v>
      </c>
      <c r="E101" s="68">
        <v>62823.040000000001</v>
      </c>
    </row>
    <row r="102" spans="1:5" ht="15" customHeight="1" x14ac:dyDescent="0.25">
      <c r="A102" s="9">
        <v>46156</v>
      </c>
      <c r="B102" s="67" t="s">
        <v>353</v>
      </c>
      <c r="C102" s="67" t="s">
        <v>7</v>
      </c>
      <c r="D102" s="68">
        <v>53841.05</v>
      </c>
      <c r="E102" s="68">
        <v>53841.05</v>
      </c>
    </row>
    <row r="103" spans="1:5" ht="15" customHeight="1" x14ac:dyDescent="0.25">
      <c r="A103" s="9">
        <v>46163</v>
      </c>
      <c r="B103" s="67" t="s">
        <v>113</v>
      </c>
      <c r="C103" s="67" t="s">
        <v>102</v>
      </c>
      <c r="D103" s="68">
        <v>47582.89</v>
      </c>
      <c r="E103" s="68">
        <v>47582.89</v>
      </c>
    </row>
    <row r="104" spans="1:5" ht="15" customHeight="1" x14ac:dyDescent="0.25">
      <c r="A104" s="9">
        <v>46164</v>
      </c>
      <c r="B104" s="67" t="s">
        <v>114</v>
      </c>
      <c r="C104" s="67" t="s">
        <v>102</v>
      </c>
      <c r="D104" s="68">
        <v>48706.64</v>
      </c>
      <c r="E104" s="68">
        <v>48706.64</v>
      </c>
    </row>
    <row r="105" spans="1:5" ht="15" customHeight="1" x14ac:dyDescent="0.25">
      <c r="A105" s="9">
        <v>46167</v>
      </c>
      <c r="B105" s="67" t="s">
        <v>52</v>
      </c>
      <c r="C105" s="67" t="s">
        <v>28</v>
      </c>
      <c r="D105" s="68">
        <v>54620</v>
      </c>
      <c r="E105" s="68">
        <v>54620</v>
      </c>
    </row>
    <row r="106" spans="1:5" ht="15" customHeight="1" x14ac:dyDescent="0.25">
      <c r="A106" s="9">
        <v>46167</v>
      </c>
      <c r="B106" s="67" t="s">
        <v>53</v>
      </c>
      <c r="C106" s="67" t="s">
        <v>28</v>
      </c>
      <c r="D106" s="68">
        <v>83900.25</v>
      </c>
      <c r="E106" s="68">
        <v>83900.25</v>
      </c>
    </row>
    <row r="107" spans="1:5" ht="15" customHeight="1" x14ac:dyDescent="0.25">
      <c r="A107" s="9">
        <v>46167</v>
      </c>
      <c r="B107" s="67" t="s">
        <v>54</v>
      </c>
      <c r="C107" s="67" t="s">
        <v>28</v>
      </c>
      <c r="D107" s="68">
        <v>30880.01</v>
      </c>
      <c r="E107" s="68">
        <v>30880.01</v>
      </c>
    </row>
    <row r="108" spans="1:5" ht="15" customHeight="1" x14ac:dyDescent="0.25">
      <c r="A108" s="9">
        <v>46167</v>
      </c>
      <c r="B108" s="67" t="s">
        <v>55</v>
      </c>
      <c r="C108" s="67" t="s">
        <v>28</v>
      </c>
      <c r="D108" s="68">
        <v>50580</v>
      </c>
      <c r="E108" s="68">
        <v>50580</v>
      </c>
    </row>
    <row r="109" spans="1:5" ht="15" customHeight="1" x14ac:dyDescent="0.25">
      <c r="A109" s="9">
        <v>46169</v>
      </c>
      <c r="B109" s="67" t="s">
        <v>85</v>
      </c>
      <c r="C109" s="67" t="s">
        <v>71</v>
      </c>
      <c r="D109" s="68">
        <v>39900</v>
      </c>
      <c r="E109" s="68">
        <v>39900</v>
      </c>
    </row>
    <row r="110" spans="1:5" ht="15" customHeight="1" x14ac:dyDescent="0.25">
      <c r="A110" s="9">
        <v>46169</v>
      </c>
      <c r="B110" s="67" t="s">
        <v>86</v>
      </c>
      <c r="C110" s="67" t="s">
        <v>71</v>
      </c>
      <c r="D110" s="68">
        <v>53375</v>
      </c>
      <c r="E110" s="68">
        <v>53375</v>
      </c>
    </row>
    <row r="111" spans="1:5" ht="15" customHeight="1" x14ac:dyDescent="0.25">
      <c r="A111" s="9">
        <v>46169</v>
      </c>
      <c r="B111" s="67" t="s">
        <v>56</v>
      </c>
      <c r="C111" s="67" t="s">
        <v>28</v>
      </c>
      <c r="D111" s="68">
        <v>43500</v>
      </c>
      <c r="E111" s="68">
        <v>43500</v>
      </c>
    </row>
    <row r="112" spans="1:5" ht="15" customHeight="1" x14ac:dyDescent="0.25">
      <c r="A112" s="9">
        <v>46171</v>
      </c>
      <c r="B112" s="67" t="s">
        <v>254</v>
      </c>
      <c r="C112" s="67" t="s">
        <v>0</v>
      </c>
      <c r="D112" s="68">
        <v>19149.939999999999</v>
      </c>
      <c r="E112" s="68">
        <v>19149.939999999999</v>
      </c>
    </row>
    <row r="113" spans="1:5" ht="15" customHeight="1" x14ac:dyDescent="0.25">
      <c r="A113" s="9">
        <v>46171</v>
      </c>
      <c r="B113" s="67" t="s">
        <v>258</v>
      </c>
      <c r="C113" s="67" t="s">
        <v>102</v>
      </c>
      <c r="D113" s="68">
        <v>48706.64</v>
      </c>
      <c r="E113" s="68">
        <v>48706.64</v>
      </c>
    </row>
    <row r="114" spans="1:5" ht="15" customHeight="1" x14ac:dyDescent="0.25">
      <c r="A114" s="9">
        <v>46177</v>
      </c>
      <c r="B114" s="67" t="s">
        <v>354</v>
      </c>
      <c r="C114" s="67" t="s">
        <v>71</v>
      </c>
      <c r="D114" s="68">
        <v>47475</v>
      </c>
      <c r="E114" s="68">
        <v>47475</v>
      </c>
    </row>
    <row r="115" spans="1:5" ht="15" customHeight="1" x14ac:dyDescent="0.25">
      <c r="A115" s="9">
        <v>46177</v>
      </c>
      <c r="B115" s="67" t="s">
        <v>355</v>
      </c>
      <c r="C115" s="67" t="s">
        <v>71</v>
      </c>
      <c r="D115" s="68">
        <v>23550</v>
      </c>
      <c r="E115" s="68">
        <v>23550</v>
      </c>
    </row>
    <row r="116" spans="1:5" ht="15" customHeight="1" x14ac:dyDescent="0.25">
      <c r="A116" s="9">
        <v>46181</v>
      </c>
      <c r="B116" s="67" t="s">
        <v>278</v>
      </c>
      <c r="C116" s="67" t="s">
        <v>28</v>
      </c>
      <c r="D116" s="68">
        <v>27584.73</v>
      </c>
      <c r="E116" s="68">
        <v>27584.73</v>
      </c>
    </row>
    <row r="117" spans="1:5" ht="15" customHeight="1" x14ac:dyDescent="0.25">
      <c r="A117" s="9">
        <v>46181</v>
      </c>
      <c r="B117" s="67" t="s">
        <v>282</v>
      </c>
      <c r="C117" s="67" t="s">
        <v>28</v>
      </c>
      <c r="D117" s="68">
        <v>58026.64</v>
      </c>
      <c r="E117" s="68">
        <v>58026.64</v>
      </c>
    </row>
    <row r="118" spans="1:5" ht="15" customHeight="1" x14ac:dyDescent="0.25">
      <c r="A118" s="9">
        <v>46185</v>
      </c>
      <c r="B118" s="67" t="s">
        <v>297</v>
      </c>
      <c r="C118" s="67" t="s">
        <v>28</v>
      </c>
      <c r="D118" s="68">
        <v>37344.730000000003</v>
      </c>
      <c r="E118" s="68">
        <v>37344.730000000003</v>
      </c>
    </row>
    <row r="119" spans="1:5" ht="15" customHeight="1" x14ac:dyDescent="0.25">
      <c r="A119" s="9">
        <v>46185</v>
      </c>
      <c r="B119" s="67" t="s">
        <v>301</v>
      </c>
      <c r="C119" s="67" t="s">
        <v>28</v>
      </c>
      <c r="D119" s="68">
        <v>88117.03</v>
      </c>
      <c r="E119" s="68">
        <v>88117.03</v>
      </c>
    </row>
    <row r="120" spans="1:5" ht="15" customHeight="1" x14ac:dyDescent="0.25">
      <c r="A120" s="9">
        <v>46188</v>
      </c>
      <c r="B120" s="67" t="s">
        <v>306</v>
      </c>
      <c r="C120" s="67" t="s">
        <v>28</v>
      </c>
      <c r="D120" s="68">
        <v>35200.35</v>
      </c>
      <c r="E120" s="68">
        <v>35200.35</v>
      </c>
    </row>
    <row r="121" spans="1:5" ht="15" customHeight="1" x14ac:dyDescent="0.25">
      <c r="A121" s="9">
        <v>46188</v>
      </c>
      <c r="B121" s="67" t="s">
        <v>356</v>
      </c>
      <c r="C121" s="67" t="s">
        <v>0</v>
      </c>
      <c r="D121" s="68">
        <v>62823.02</v>
      </c>
      <c r="E121" s="68">
        <v>62823.02</v>
      </c>
    </row>
    <row r="122" spans="1:5" ht="15" customHeight="1" x14ac:dyDescent="0.25">
      <c r="A122" s="9">
        <v>46188</v>
      </c>
      <c r="B122" s="67" t="s">
        <v>357</v>
      </c>
      <c r="C122" s="67" t="s">
        <v>7</v>
      </c>
      <c r="D122" s="68">
        <v>53841.03</v>
      </c>
      <c r="E122" s="68">
        <v>53841.03</v>
      </c>
    </row>
    <row r="123" spans="1:5" ht="15" customHeight="1" x14ac:dyDescent="0.25">
      <c r="A123" s="9">
        <v>46076</v>
      </c>
      <c r="B123" s="67" t="s">
        <v>116</v>
      </c>
      <c r="C123" s="67" t="s">
        <v>115</v>
      </c>
      <c r="D123" s="68">
        <v>55395.94</v>
      </c>
      <c r="E123" s="68">
        <v>55395.94</v>
      </c>
    </row>
    <row r="124" spans="1:5" ht="15" customHeight="1" x14ac:dyDescent="0.25">
      <c r="A124" s="9">
        <v>46076</v>
      </c>
      <c r="B124" s="67" t="s">
        <v>117</v>
      </c>
      <c r="C124" s="67" t="s">
        <v>115</v>
      </c>
      <c r="D124" s="68">
        <v>29710.46</v>
      </c>
      <c r="E124" s="68">
        <v>29710.46</v>
      </c>
    </row>
    <row r="125" spans="1:5" ht="15" customHeight="1" x14ac:dyDescent="0.25">
      <c r="A125" s="9">
        <v>46080</v>
      </c>
      <c r="B125" s="67" t="s">
        <v>118</v>
      </c>
      <c r="C125" s="67" t="s">
        <v>115</v>
      </c>
      <c r="D125" s="68">
        <v>27057.29</v>
      </c>
      <c r="E125" s="68">
        <v>27057.29</v>
      </c>
    </row>
    <row r="126" spans="1:5" ht="15" customHeight="1" x14ac:dyDescent="0.25">
      <c r="A126" s="9">
        <v>46083</v>
      </c>
      <c r="B126" s="67" t="s">
        <v>236</v>
      </c>
      <c r="C126" s="67" t="s">
        <v>7</v>
      </c>
      <c r="D126" s="68">
        <v>110654.51</v>
      </c>
      <c r="E126" s="68">
        <v>110654.51</v>
      </c>
    </row>
    <row r="127" spans="1:5" ht="15" customHeight="1" x14ac:dyDescent="0.25">
      <c r="A127" s="9">
        <v>46083</v>
      </c>
      <c r="B127" s="67" t="s">
        <v>240</v>
      </c>
      <c r="C127" s="67" t="s">
        <v>0</v>
      </c>
      <c r="D127" s="68">
        <v>85903.37</v>
      </c>
      <c r="E127" s="68">
        <v>85903.37</v>
      </c>
    </row>
    <row r="128" spans="1:5" ht="15" customHeight="1" x14ac:dyDescent="0.25">
      <c r="A128" s="9">
        <v>46090</v>
      </c>
      <c r="B128" s="67" t="s">
        <v>2</v>
      </c>
      <c r="C128" s="67" t="s">
        <v>0</v>
      </c>
      <c r="D128" s="68">
        <v>69367.929999999993</v>
      </c>
      <c r="E128" s="68">
        <v>69367.929999999993</v>
      </c>
    </row>
    <row r="129" spans="1:5" ht="15" customHeight="1" x14ac:dyDescent="0.25">
      <c r="A129" s="9">
        <v>46090</v>
      </c>
      <c r="B129" s="67" t="s">
        <v>8</v>
      </c>
      <c r="C129" s="67" t="s">
        <v>7</v>
      </c>
      <c r="D129" s="68">
        <v>85201.9</v>
      </c>
      <c r="E129" s="68">
        <v>85201.9</v>
      </c>
    </row>
    <row r="130" spans="1:5" ht="15" customHeight="1" x14ac:dyDescent="0.25">
      <c r="A130" s="9">
        <v>46090</v>
      </c>
      <c r="B130" s="67" t="s">
        <v>119</v>
      </c>
      <c r="C130" s="67" t="s">
        <v>115</v>
      </c>
      <c r="D130" s="68">
        <v>76601.899999999994</v>
      </c>
      <c r="E130" s="68">
        <v>76601.899999999994</v>
      </c>
    </row>
    <row r="131" spans="1:5" ht="15" customHeight="1" x14ac:dyDescent="0.25">
      <c r="A131" s="9">
        <v>46091</v>
      </c>
      <c r="B131" s="67" t="s">
        <v>61</v>
      </c>
      <c r="C131" s="67" t="s">
        <v>60</v>
      </c>
      <c r="D131" s="68">
        <v>352019</v>
      </c>
      <c r="E131" s="68">
        <v>352019</v>
      </c>
    </row>
    <row r="132" spans="1:5" ht="15" customHeight="1" x14ac:dyDescent="0.25">
      <c r="A132" s="9">
        <v>46097</v>
      </c>
      <c r="B132" s="67" t="s">
        <v>3</v>
      </c>
      <c r="C132" s="67" t="s">
        <v>0</v>
      </c>
      <c r="D132" s="68">
        <v>40780</v>
      </c>
      <c r="E132" s="68">
        <v>40780</v>
      </c>
    </row>
    <row r="133" spans="1:5" ht="15" customHeight="1" x14ac:dyDescent="0.25">
      <c r="A133" s="9">
        <v>46097</v>
      </c>
      <c r="B133" s="67" t="s">
        <v>9</v>
      </c>
      <c r="C133" s="67" t="s">
        <v>7</v>
      </c>
      <c r="D133" s="68">
        <v>51067.93</v>
      </c>
      <c r="E133" s="68">
        <v>51067.93</v>
      </c>
    </row>
    <row r="134" spans="1:5" ht="15" customHeight="1" x14ac:dyDescent="0.25">
      <c r="A134" s="9">
        <v>46097</v>
      </c>
      <c r="B134" s="67" t="s">
        <v>307</v>
      </c>
      <c r="C134" s="67" t="s">
        <v>62</v>
      </c>
      <c r="D134" s="68">
        <v>98393.54</v>
      </c>
      <c r="E134" s="68">
        <v>98393.54</v>
      </c>
    </row>
    <row r="135" spans="1:5" ht="15" customHeight="1" x14ac:dyDescent="0.25">
      <c r="A135" s="9">
        <v>46097</v>
      </c>
      <c r="B135" s="67" t="s">
        <v>310</v>
      </c>
      <c r="C135" s="67" t="s">
        <v>71</v>
      </c>
      <c r="D135" s="68">
        <v>31000</v>
      </c>
      <c r="E135" s="68">
        <v>31000</v>
      </c>
    </row>
    <row r="136" spans="1:5" ht="15" customHeight="1" x14ac:dyDescent="0.25">
      <c r="A136" s="9">
        <v>46097</v>
      </c>
      <c r="B136" s="67" t="s">
        <v>311</v>
      </c>
      <c r="C136" s="67" t="s">
        <v>115</v>
      </c>
      <c r="D136" s="68">
        <v>69352.7</v>
      </c>
      <c r="E136" s="68">
        <v>69352.7</v>
      </c>
    </row>
    <row r="137" spans="1:5" ht="15" customHeight="1" x14ac:dyDescent="0.25">
      <c r="A137" s="9">
        <v>46097</v>
      </c>
      <c r="B137" s="67" t="s">
        <v>315</v>
      </c>
      <c r="C137" s="67" t="s">
        <v>28</v>
      </c>
      <c r="D137" s="68">
        <v>65923.8</v>
      </c>
      <c r="E137" s="68">
        <v>65923.8</v>
      </c>
    </row>
    <row r="138" spans="1:5" ht="15" customHeight="1" x14ac:dyDescent="0.25">
      <c r="A138" s="9">
        <v>46104</v>
      </c>
      <c r="B138" s="67" t="s">
        <v>120</v>
      </c>
      <c r="C138" s="67" t="s">
        <v>115</v>
      </c>
      <c r="D138" s="68">
        <v>26292.5</v>
      </c>
      <c r="E138" s="68">
        <v>26292.5</v>
      </c>
    </row>
    <row r="139" spans="1:5" ht="15" customHeight="1" x14ac:dyDescent="0.25">
      <c r="A139" s="9">
        <v>46105</v>
      </c>
      <c r="B139" s="67" t="s">
        <v>121</v>
      </c>
      <c r="C139" s="67" t="s">
        <v>115</v>
      </c>
      <c r="D139" s="68">
        <v>49003.43</v>
      </c>
      <c r="E139" s="68">
        <v>49003.43</v>
      </c>
    </row>
    <row r="140" spans="1:5" ht="15" customHeight="1" x14ac:dyDescent="0.25">
      <c r="A140" s="9">
        <v>46111</v>
      </c>
      <c r="B140" s="67" t="s">
        <v>237</v>
      </c>
      <c r="C140" s="67" t="s">
        <v>7</v>
      </c>
      <c r="D140" s="68">
        <v>89619.6</v>
      </c>
      <c r="E140" s="68">
        <v>89619.6</v>
      </c>
    </row>
    <row r="141" spans="1:5" ht="15" customHeight="1" x14ac:dyDescent="0.25">
      <c r="A141" s="9">
        <v>46111</v>
      </c>
      <c r="B141" s="67" t="s">
        <v>241</v>
      </c>
      <c r="C141" s="67" t="s">
        <v>0</v>
      </c>
      <c r="D141" s="68">
        <v>70468.899999999994</v>
      </c>
      <c r="E141" s="68">
        <v>70468.899999999994</v>
      </c>
    </row>
    <row r="142" spans="1:5" ht="15" customHeight="1" x14ac:dyDescent="0.25">
      <c r="A142" s="9">
        <v>46111</v>
      </c>
      <c r="B142" s="67" t="s">
        <v>122</v>
      </c>
      <c r="C142" s="67" t="s">
        <v>115</v>
      </c>
      <c r="D142" s="68">
        <v>23944.5</v>
      </c>
      <c r="E142" s="68">
        <v>23944.5</v>
      </c>
    </row>
    <row r="143" spans="1:5" ht="15" customHeight="1" x14ac:dyDescent="0.25">
      <c r="A143" s="9">
        <v>46119</v>
      </c>
      <c r="B143" s="67" t="s">
        <v>5</v>
      </c>
      <c r="C143" s="67" t="s">
        <v>0</v>
      </c>
      <c r="D143" s="68">
        <v>69367.94</v>
      </c>
      <c r="E143" s="68">
        <v>69367.94</v>
      </c>
    </row>
    <row r="144" spans="1:5" ht="15" customHeight="1" x14ac:dyDescent="0.25">
      <c r="A144" s="9">
        <v>46119</v>
      </c>
      <c r="B144" s="67" t="s">
        <v>10</v>
      </c>
      <c r="C144" s="67" t="s">
        <v>7</v>
      </c>
      <c r="D144" s="68">
        <v>85201.9</v>
      </c>
      <c r="E144" s="68">
        <v>85201.9</v>
      </c>
    </row>
    <row r="145" spans="1:5" ht="15" customHeight="1" x14ac:dyDescent="0.25">
      <c r="A145" s="9">
        <v>46125</v>
      </c>
      <c r="B145" s="67" t="s">
        <v>6</v>
      </c>
      <c r="C145" s="67" t="s">
        <v>0</v>
      </c>
      <c r="D145" s="68">
        <v>40780</v>
      </c>
      <c r="E145" s="68">
        <v>40780</v>
      </c>
    </row>
    <row r="146" spans="1:5" ht="15" customHeight="1" x14ac:dyDescent="0.25">
      <c r="A146" s="9">
        <v>46125</v>
      </c>
      <c r="B146" s="67" t="s">
        <v>11</v>
      </c>
      <c r="C146" s="67" t="s">
        <v>7</v>
      </c>
      <c r="D146" s="68">
        <v>51067.94</v>
      </c>
      <c r="E146" s="68">
        <v>51067.94</v>
      </c>
    </row>
    <row r="147" spans="1:5" ht="15" customHeight="1" x14ac:dyDescent="0.25">
      <c r="A147" s="9">
        <v>46125</v>
      </c>
      <c r="B147" s="67" t="s">
        <v>308</v>
      </c>
      <c r="C147" s="67" t="s">
        <v>62</v>
      </c>
      <c r="D147" s="68">
        <v>82309.87</v>
      </c>
      <c r="E147" s="68">
        <v>82309.87</v>
      </c>
    </row>
    <row r="148" spans="1:5" ht="15" customHeight="1" x14ac:dyDescent="0.25">
      <c r="A148" s="9">
        <v>46125</v>
      </c>
      <c r="B148" s="67" t="s">
        <v>312</v>
      </c>
      <c r="C148" s="67" t="s">
        <v>115</v>
      </c>
      <c r="D148" s="68">
        <v>60885.5</v>
      </c>
      <c r="E148" s="68">
        <v>60885.5</v>
      </c>
    </row>
    <row r="149" spans="1:5" ht="15" customHeight="1" x14ac:dyDescent="0.25">
      <c r="A149" s="9">
        <v>46126</v>
      </c>
      <c r="B149" s="67" t="s">
        <v>316</v>
      </c>
      <c r="C149" s="67" t="s">
        <v>28</v>
      </c>
      <c r="D149" s="68">
        <v>58028</v>
      </c>
      <c r="E149" s="68">
        <v>58028</v>
      </c>
    </row>
    <row r="150" spans="1:5" ht="15" customHeight="1" x14ac:dyDescent="0.25">
      <c r="A150" s="9">
        <v>46135</v>
      </c>
      <c r="B150" s="67" t="s">
        <v>123</v>
      </c>
      <c r="C150" s="67" t="s">
        <v>115</v>
      </c>
      <c r="D150" s="68">
        <v>49003.44</v>
      </c>
      <c r="E150" s="68">
        <v>49003.44</v>
      </c>
    </row>
    <row r="151" spans="1:5" ht="15" customHeight="1" x14ac:dyDescent="0.25">
      <c r="A151" s="9">
        <v>46141</v>
      </c>
      <c r="B151" s="67" t="s">
        <v>238</v>
      </c>
      <c r="C151" s="67" t="s">
        <v>7</v>
      </c>
      <c r="D151" s="68">
        <v>89619.6</v>
      </c>
      <c r="E151" s="68">
        <v>89619.6</v>
      </c>
    </row>
    <row r="152" spans="1:5" ht="15" customHeight="1" x14ac:dyDescent="0.25">
      <c r="A152" s="9">
        <v>46141</v>
      </c>
      <c r="B152" s="67" t="s">
        <v>242</v>
      </c>
      <c r="C152" s="67" t="s">
        <v>0</v>
      </c>
      <c r="D152" s="68">
        <v>70468.899999999994</v>
      </c>
      <c r="E152" s="68">
        <v>70468.899999999994</v>
      </c>
    </row>
    <row r="153" spans="1:5" ht="15" customHeight="1" x14ac:dyDescent="0.25">
      <c r="A153" s="9">
        <v>46155</v>
      </c>
      <c r="B153" s="67" t="s">
        <v>309</v>
      </c>
      <c r="C153" s="67" t="s">
        <v>62</v>
      </c>
      <c r="D153" s="68">
        <v>82309.86</v>
      </c>
      <c r="E153" s="68">
        <v>82309.86</v>
      </c>
    </row>
    <row r="154" spans="1:5" ht="15" customHeight="1" x14ac:dyDescent="0.25">
      <c r="A154" s="9">
        <v>46155</v>
      </c>
      <c r="B154" s="67" t="s">
        <v>313</v>
      </c>
      <c r="C154" s="67" t="s">
        <v>115</v>
      </c>
      <c r="D154" s="68">
        <v>60885.5</v>
      </c>
      <c r="E154" s="68">
        <v>60885.5</v>
      </c>
    </row>
    <row r="155" spans="1:5" ht="15" customHeight="1" x14ac:dyDescent="0.25">
      <c r="A155" s="9">
        <v>46156</v>
      </c>
      <c r="B155" s="67" t="s">
        <v>317</v>
      </c>
      <c r="C155" s="67" t="s">
        <v>28</v>
      </c>
      <c r="D155" s="68">
        <v>58028</v>
      </c>
      <c r="E155" s="68">
        <v>58028</v>
      </c>
    </row>
    <row r="156" spans="1:5" ht="15" customHeight="1" x14ac:dyDescent="0.25">
      <c r="A156" s="9">
        <v>46171</v>
      </c>
      <c r="B156" s="67" t="s">
        <v>239</v>
      </c>
      <c r="C156" s="67" t="s">
        <v>7</v>
      </c>
      <c r="D156" s="68">
        <v>89619.6</v>
      </c>
      <c r="E156" s="68">
        <v>89619.6</v>
      </c>
    </row>
    <row r="157" spans="1:5" ht="15" customHeight="1" x14ac:dyDescent="0.25">
      <c r="A157" s="9">
        <v>46171</v>
      </c>
      <c r="B157" s="67" t="s">
        <v>243</v>
      </c>
      <c r="C157" s="67" t="s">
        <v>0</v>
      </c>
      <c r="D157" s="68">
        <v>70468.899999999994</v>
      </c>
      <c r="E157" s="68">
        <v>70468.899999999994</v>
      </c>
    </row>
    <row r="158" spans="1:5" ht="15" customHeight="1" x14ac:dyDescent="0.25">
      <c r="A158" s="9">
        <v>46185</v>
      </c>
      <c r="B158" s="67" t="s">
        <v>314</v>
      </c>
      <c r="C158" s="67" t="s">
        <v>115</v>
      </c>
      <c r="D158" s="68">
        <v>60885.5</v>
      </c>
      <c r="E158" s="68">
        <v>60885.5</v>
      </c>
    </row>
    <row r="159" spans="1:5" ht="15" customHeight="1" x14ac:dyDescent="0.25">
      <c r="A159" s="9">
        <v>46188</v>
      </c>
      <c r="B159" s="67" t="s">
        <v>318</v>
      </c>
      <c r="C159" s="67" t="s">
        <v>28</v>
      </c>
      <c r="D159" s="68">
        <v>58028</v>
      </c>
      <c r="E159" s="68">
        <v>58028</v>
      </c>
    </row>
    <row r="160" spans="1:5" ht="15" customHeight="1" x14ac:dyDescent="0.25">
      <c r="A160" s="9">
        <v>46083</v>
      </c>
      <c r="B160" s="67" t="s">
        <v>244</v>
      </c>
      <c r="C160" s="67" t="s">
        <v>12</v>
      </c>
      <c r="D160" s="68">
        <v>28817.62</v>
      </c>
      <c r="E160" s="68">
        <v>28817.62</v>
      </c>
    </row>
    <row r="161" spans="1:5" ht="15" customHeight="1" x14ac:dyDescent="0.25">
      <c r="A161" s="9">
        <v>46083</v>
      </c>
      <c r="B161" s="67" t="s">
        <v>247</v>
      </c>
      <c r="C161" s="67" t="s">
        <v>16</v>
      </c>
      <c r="D161" s="68">
        <v>41101.620000000003</v>
      </c>
      <c r="E161" s="68">
        <v>41101.620000000003</v>
      </c>
    </row>
    <row r="162" spans="1:5" ht="15" customHeight="1" x14ac:dyDescent="0.25">
      <c r="A162" s="9">
        <v>46083</v>
      </c>
      <c r="B162" s="67" t="s">
        <v>248</v>
      </c>
      <c r="C162" s="67" t="s">
        <v>12</v>
      </c>
      <c r="D162" s="68">
        <v>8500.89</v>
      </c>
      <c r="E162" s="68">
        <v>8500.89</v>
      </c>
    </row>
    <row r="163" spans="1:5" ht="15" customHeight="1" x14ac:dyDescent="0.25">
      <c r="A163" s="9">
        <v>46086</v>
      </c>
      <c r="B163" s="67" t="s">
        <v>358</v>
      </c>
      <c r="C163" s="67" t="s">
        <v>65</v>
      </c>
      <c r="D163" s="68">
        <v>227754.86</v>
      </c>
      <c r="E163" s="68">
        <v>227754.86</v>
      </c>
    </row>
    <row r="164" spans="1:5" ht="15" customHeight="1" x14ac:dyDescent="0.25">
      <c r="A164" s="9">
        <v>46087</v>
      </c>
      <c r="B164" s="67" t="s">
        <v>359</v>
      </c>
      <c r="C164" s="67" t="s">
        <v>16</v>
      </c>
      <c r="D164" s="68">
        <v>42074.239999999998</v>
      </c>
      <c r="E164" s="68">
        <v>42074.239999999998</v>
      </c>
    </row>
    <row r="165" spans="1:5" ht="15" customHeight="1" x14ac:dyDescent="0.25">
      <c r="A165" s="9">
        <v>46090</v>
      </c>
      <c r="B165" s="67" t="s">
        <v>319</v>
      </c>
      <c r="C165" s="67" t="s">
        <v>12</v>
      </c>
      <c r="D165" s="68">
        <v>6474.13</v>
      </c>
      <c r="E165" s="68">
        <v>6474.13</v>
      </c>
    </row>
    <row r="166" spans="1:5" ht="15" customHeight="1" x14ac:dyDescent="0.25">
      <c r="A166" s="9">
        <v>46094</v>
      </c>
      <c r="B166" s="67" t="s">
        <v>320</v>
      </c>
      <c r="C166" s="67" t="s">
        <v>65</v>
      </c>
      <c r="D166" s="68">
        <v>216254.86</v>
      </c>
      <c r="E166" s="68">
        <v>216254.86</v>
      </c>
    </row>
    <row r="167" spans="1:5" ht="15" customHeight="1" x14ac:dyDescent="0.25">
      <c r="A167" s="9">
        <v>46097</v>
      </c>
      <c r="B167" s="67" t="s">
        <v>323</v>
      </c>
      <c r="C167" s="67" t="s">
        <v>96</v>
      </c>
      <c r="D167" s="68">
        <v>162096.16</v>
      </c>
      <c r="E167" s="68">
        <v>162096.16</v>
      </c>
    </row>
    <row r="168" spans="1:5" ht="15" customHeight="1" x14ac:dyDescent="0.25">
      <c r="A168" s="9">
        <v>46097</v>
      </c>
      <c r="B168" s="67" t="s">
        <v>97</v>
      </c>
      <c r="C168" s="67" t="s">
        <v>96</v>
      </c>
      <c r="D168" s="68">
        <v>760</v>
      </c>
      <c r="E168" s="68">
        <v>760</v>
      </c>
    </row>
    <row r="169" spans="1:5" ht="15" customHeight="1" x14ac:dyDescent="0.25">
      <c r="A169" s="9">
        <v>46100</v>
      </c>
      <c r="B169" s="67" t="s">
        <v>98</v>
      </c>
      <c r="C169" s="67" t="s">
        <v>96</v>
      </c>
      <c r="D169" s="68">
        <v>40590</v>
      </c>
      <c r="E169" s="68">
        <v>40590</v>
      </c>
    </row>
    <row r="170" spans="1:5" ht="15" customHeight="1" x14ac:dyDescent="0.25">
      <c r="A170" s="9">
        <v>46100</v>
      </c>
      <c r="B170" s="67" t="s">
        <v>99</v>
      </c>
      <c r="C170" s="67" t="s">
        <v>96</v>
      </c>
      <c r="D170" s="68">
        <v>40592</v>
      </c>
      <c r="E170" s="68">
        <v>40592</v>
      </c>
    </row>
    <row r="171" spans="1:5" ht="15" customHeight="1" x14ac:dyDescent="0.25">
      <c r="A171" s="9">
        <v>46111</v>
      </c>
      <c r="B171" s="67" t="s">
        <v>245</v>
      </c>
      <c r="C171" s="67" t="s">
        <v>12</v>
      </c>
      <c r="D171" s="68">
        <v>28817.599999999999</v>
      </c>
      <c r="E171" s="68">
        <v>28817.599999999999</v>
      </c>
    </row>
    <row r="172" spans="1:5" ht="15" customHeight="1" x14ac:dyDescent="0.25">
      <c r="A172" s="9">
        <v>46111</v>
      </c>
      <c r="B172" s="67" t="s">
        <v>249</v>
      </c>
      <c r="C172" s="67" t="s">
        <v>12</v>
      </c>
      <c r="D172" s="68">
        <v>8500</v>
      </c>
      <c r="E172" s="68">
        <v>8500</v>
      </c>
    </row>
    <row r="173" spans="1:5" ht="15" customHeight="1" x14ac:dyDescent="0.25">
      <c r="A173" s="9">
        <v>46118</v>
      </c>
      <c r="B173" s="67" t="s">
        <v>360</v>
      </c>
      <c r="C173" s="67" t="s">
        <v>65</v>
      </c>
      <c r="D173" s="68">
        <v>196885.63</v>
      </c>
      <c r="E173" s="68">
        <v>196885.63</v>
      </c>
    </row>
    <row r="174" spans="1:5" ht="15" customHeight="1" x14ac:dyDescent="0.25">
      <c r="A174" s="9">
        <v>46125</v>
      </c>
      <c r="B174" s="67" t="s">
        <v>321</v>
      </c>
      <c r="C174" s="67" t="s">
        <v>65</v>
      </c>
      <c r="D174" s="68">
        <v>185385.63</v>
      </c>
      <c r="E174" s="68">
        <v>185385.63</v>
      </c>
    </row>
    <row r="175" spans="1:5" ht="15" customHeight="1" x14ac:dyDescent="0.25">
      <c r="A175" s="9">
        <v>46125</v>
      </c>
      <c r="B175" s="67" t="s">
        <v>324</v>
      </c>
      <c r="C175" s="67" t="s">
        <v>96</v>
      </c>
      <c r="D175" s="68">
        <v>162096.15</v>
      </c>
      <c r="E175" s="68">
        <v>162096.15</v>
      </c>
    </row>
    <row r="176" spans="1:5" ht="15" customHeight="1" x14ac:dyDescent="0.25">
      <c r="A176" s="9">
        <v>46141</v>
      </c>
      <c r="B176" s="67" t="s">
        <v>246</v>
      </c>
      <c r="C176" s="67" t="s">
        <v>12</v>
      </c>
      <c r="D176" s="68">
        <v>28817.599999999999</v>
      </c>
      <c r="E176" s="68">
        <v>28817.599999999999</v>
      </c>
    </row>
    <row r="177" spans="1:5" ht="15" customHeight="1" x14ac:dyDescent="0.25">
      <c r="A177" s="9">
        <v>46141</v>
      </c>
      <c r="B177" s="67" t="s">
        <v>250</v>
      </c>
      <c r="C177" s="67" t="s">
        <v>12</v>
      </c>
      <c r="D177" s="68">
        <v>8500</v>
      </c>
      <c r="E177" s="68">
        <v>8500</v>
      </c>
    </row>
    <row r="178" spans="1:5" ht="15" customHeight="1" x14ac:dyDescent="0.25">
      <c r="A178" s="9">
        <v>46146</v>
      </c>
      <c r="B178" s="67" t="s">
        <v>361</v>
      </c>
      <c r="C178" s="67" t="s">
        <v>65</v>
      </c>
      <c r="D178" s="68">
        <v>196885.64</v>
      </c>
      <c r="E178" s="68">
        <v>196885.64</v>
      </c>
    </row>
    <row r="179" spans="1:5" ht="15" customHeight="1" x14ac:dyDescent="0.25">
      <c r="A179" s="9">
        <v>46154</v>
      </c>
      <c r="B179" s="67" t="s">
        <v>322</v>
      </c>
      <c r="C179" s="67" t="s">
        <v>65</v>
      </c>
      <c r="D179" s="68">
        <v>185385.64</v>
      </c>
      <c r="E179" s="68">
        <v>185385.64</v>
      </c>
    </row>
    <row r="180" spans="1:5" ht="15" customHeight="1" x14ac:dyDescent="0.25">
      <c r="A180" s="9">
        <v>46079</v>
      </c>
      <c r="B180" s="67" t="s">
        <v>18</v>
      </c>
      <c r="C180" s="67" t="s">
        <v>19</v>
      </c>
      <c r="D180" s="68">
        <v>3450</v>
      </c>
      <c r="E180" s="68">
        <v>3450</v>
      </c>
    </row>
    <row r="181" spans="1:5" ht="15" customHeight="1" x14ac:dyDescent="0.25">
      <c r="A181" s="9">
        <v>46079</v>
      </c>
      <c r="B181" s="67" t="s">
        <v>20</v>
      </c>
      <c r="C181" s="67" t="s">
        <v>19</v>
      </c>
      <c r="D181" s="68">
        <v>51003.57</v>
      </c>
      <c r="E181" s="68">
        <v>51003.57</v>
      </c>
    </row>
    <row r="182" spans="1:5" ht="15" customHeight="1" x14ac:dyDescent="0.25">
      <c r="A182" s="9">
        <v>46083</v>
      </c>
      <c r="B182" s="67" t="s">
        <v>259</v>
      </c>
      <c r="C182" s="67" t="s">
        <v>13</v>
      </c>
      <c r="D182" s="68">
        <v>73982.92</v>
      </c>
      <c r="E182" s="68">
        <v>73982.92</v>
      </c>
    </row>
    <row r="183" spans="1:5" ht="15" customHeight="1" x14ac:dyDescent="0.25">
      <c r="A183" s="9">
        <v>46083</v>
      </c>
      <c r="B183" s="67" t="s">
        <v>265</v>
      </c>
      <c r="C183" s="67" t="s">
        <v>92</v>
      </c>
      <c r="D183" s="68">
        <v>109460.35</v>
      </c>
      <c r="E183" s="68">
        <v>109460.35</v>
      </c>
    </row>
    <row r="184" spans="1:5" ht="15" customHeight="1" x14ac:dyDescent="0.25">
      <c r="A184" s="9">
        <v>46083</v>
      </c>
      <c r="B184" s="67" t="s">
        <v>262</v>
      </c>
      <c r="C184" s="67" t="s">
        <v>13</v>
      </c>
      <c r="D184" s="68">
        <v>770.15</v>
      </c>
      <c r="E184" s="68">
        <v>770.15</v>
      </c>
    </row>
    <row r="185" spans="1:5" ht="15" customHeight="1" x14ac:dyDescent="0.25">
      <c r="A185" s="9">
        <v>46086</v>
      </c>
      <c r="B185" s="67" t="s">
        <v>362</v>
      </c>
      <c r="C185" s="67" t="s">
        <v>64</v>
      </c>
      <c r="D185" s="68">
        <v>227754.86</v>
      </c>
      <c r="E185" s="68">
        <v>227754.86</v>
      </c>
    </row>
    <row r="186" spans="1:5" ht="15" customHeight="1" x14ac:dyDescent="0.25">
      <c r="A186" s="9">
        <v>46086</v>
      </c>
      <c r="B186" s="67" t="s">
        <v>93</v>
      </c>
      <c r="C186" s="67" t="s">
        <v>92</v>
      </c>
      <c r="D186" s="68">
        <v>938.25</v>
      </c>
      <c r="E186" s="68">
        <v>938.25</v>
      </c>
    </row>
    <row r="187" spans="1:5" ht="15" customHeight="1" x14ac:dyDescent="0.25">
      <c r="A187" s="9">
        <v>46090</v>
      </c>
      <c r="B187" s="67" t="s">
        <v>363</v>
      </c>
      <c r="C187" s="67" t="s">
        <v>59</v>
      </c>
      <c r="D187" s="68">
        <v>60498.41</v>
      </c>
      <c r="E187" s="68">
        <v>60498.41</v>
      </c>
    </row>
    <row r="188" spans="1:5" ht="15" customHeight="1" x14ac:dyDescent="0.25">
      <c r="A188" s="9">
        <v>46090</v>
      </c>
      <c r="B188" s="67" t="s">
        <v>364</v>
      </c>
      <c r="C188" s="67" t="s">
        <v>59</v>
      </c>
      <c r="D188" s="68">
        <v>19076.46</v>
      </c>
      <c r="E188" s="68">
        <v>19076.46</v>
      </c>
    </row>
    <row r="189" spans="1:5" ht="15" customHeight="1" x14ac:dyDescent="0.25">
      <c r="A189" s="9">
        <v>46094</v>
      </c>
      <c r="B189" s="67" t="s">
        <v>325</v>
      </c>
      <c r="C189" s="67" t="s">
        <v>64</v>
      </c>
      <c r="D189" s="68">
        <v>216254.67</v>
      </c>
      <c r="E189" s="68">
        <v>216254.67</v>
      </c>
    </row>
    <row r="190" spans="1:5" ht="15" customHeight="1" x14ac:dyDescent="0.25">
      <c r="A190" s="9">
        <v>46097</v>
      </c>
      <c r="B190" s="67" t="s">
        <v>94</v>
      </c>
      <c r="C190" s="67" t="s">
        <v>92</v>
      </c>
      <c r="D190" s="68">
        <v>206468.9</v>
      </c>
      <c r="E190" s="68">
        <v>206468.9</v>
      </c>
    </row>
    <row r="191" spans="1:5" ht="15" customHeight="1" x14ac:dyDescent="0.25">
      <c r="A191" s="9">
        <v>46097</v>
      </c>
      <c r="B191" s="67" t="s">
        <v>95</v>
      </c>
      <c r="C191" s="67" t="s">
        <v>92</v>
      </c>
      <c r="D191" s="68">
        <v>2436</v>
      </c>
      <c r="E191" s="68">
        <v>2436</v>
      </c>
    </row>
    <row r="192" spans="1:5" ht="15" customHeight="1" x14ac:dyDescent="0.25">
      <c r="A192" s="9">
        <v>46111</v>
      </c>
      <c r="B192" s="67" t="s">
        <v>260</v>
      </c>
      <c r="C192" s="67" t="s">
        <v>13</v>
      </c>
      <c r="D192" s="68">
        <v>73982.91</v>
      </c>
      <c r="E192" s="68">
        <v>73982.91</v>
      </c>
    </row>
    <row r="193" spans="1:5" ht="15" customHeight="1" x14ac:dyDescent="0.25">
      <c r="A193" s="9">
        <v>46111</v>
      </c>
      <c r="B193" s="67" t="s">
        <v>263</v>
      </c>
      <c r="C193" s="67" t="s">
        <v>13</v>
      </c>
      <c r="D193" s="68">
        <v>770.15</v>
      </c>
      <c r="E193" s="68">
        <v>770.15</v>
      </c>
    </row>
    <row r="194" spans="1:5" ht="15" customHeight="1" x14ac:dyDescent="0.25">
      <c r="A194" s="9">
        <v>46112</v>
      </c>
      <c r="B194" s="67" t="s">
        <v>266</v>
      </c>
      <c r="C194" s="67" t="s">
        <v>92</v>
      </c>
      <c r="D194" s="68">
        <v>109460.2</v>
      </c>
      <c r="E194" s="68">
        <v>109460.2</v>
      </c>
    </row>
    <row r="195" spans="1:5" ht="15" customHeight="1" x14ac:dyDescent="0.25">
      <c r="A195" s="9">
        <v>46118</v>
      </c>
      <c r="B195" s="67" t="s">
        <v>365</v>
      </c>
      <c r="C195" s="67" t="s">
        <v>64</v>
      </c>
      <c r="D195" s="68">
        <v>196885.63</v>
      </c>
      <c r="E195" s="68">
        <v>196885.63</v>
      </c>
    </row>
    <row r="196" spans="1:5" ht="15" customHeight="1" x14ac:dyDescent="0.25">
      <c r="A196" s="9">
        <v>46118</v>
      </c>
      <c r="B196" s="67" t="s">
        <v>366</v>
      </c>
      <c r="C196" s="67" t="s">
        <v>59</v>
      </c>
      <c r="D196" s="68">
        <v>52754.67</v>
      </c>
      <c r="E196" s="68">
        <v>52754.67</v>
      </c>
    </row>
    <row r="197" spans="1:5" ht="15" customHeight="1" x14ac:dyDescent="0.25">
      <c r="A197" s="9">
        <v>46118</v>
      </c>
      <c r="B197" s="67" t="s">
        <v>367</v>
      </c>
      <c r="C197" s="67" t="s">
        <v>59</v>
      </c>
      <c r="D197" s="68">
        <v>15963.67</v>
      </c>
      <c r="E197" s="68">
        <v>15963.67</v>
      </c>
    </row>
    <row r="198" spans="1:5" ht="15" customHeight="1" x14ac:dyDescent="0.25">
      <c r="A198" s="9">
        <v>46125</v>
      </c>
      <c r="B198" s="67" t="s">
        <v>326</v>
      </c>
      <c r="C198" s="67" t="s">
        <v>64</v>
      </c>
      <c r="D198" s="68">
        <v>185385.73</v>
      </c>
      <c r="E198" s="68">
        <v>185385.73</v>
      </c>
    </row>
    <row r="199" spans="1:5" ht="15" customHeight="1" x14ac:dyDescent="0.25">
      <c r="A199" s="9">
        <v>46141</v>
      </c>
      <c r="B199" s="67" t="s">
        <v>261</v>
      </c>
      <c r="C199" s="67" t="s">
        <v>13</v>
      </c>
      <c r="D199" s="68">
        <v>73982.91</v>
      </c>
      <c r="E199" s="68">
        <v>73982.91</v>
      </c>
    </row>
    <row r="200" spans="1:5" ht="15" customHeight="1" x14ac:dyDescent="0.25">
      <c r="A200" s="9">
        <v>46141</v>
      </c>
      <c r="B200" s="67" t="s">
        <v>264</v>
      </c>
      <c r="C200" s="67" t="s">
        <v>13</v>
      </c>
      <c r="D200" s="68">
        <v>770.14</v>
      </c>
      <c r="E200" s="68">
        <v>770.14</v>
      </c>
    </row>
    <row r="201" spans="1:5" ht="15" customHeight="1" x14ac:dyDescent="0.25">
      <c r="A201" s="9">
        <v>46142</v>
      </c>
      <c r="B201" s="67" t="s">
        <v>267</v>
      </c>
      <c r="C201" s="67" t="s">
        <v>92</v>
      </c>
      <c r="D201" s="68">
        <v>109460</v>
      </c>
      <c r="E201" s="68">
        <v>109460</v>
      </c>
    </row>
    <row r="202" spans="1:5" ht="15" customHeight="1" x14ac:dyDescent="0.25">
      <c r="A202" s="9">
        <v>46146</v>
      </c>
      <c r="B202" s="67" t="s">
        <v>368</v>
      </c>
      <c r="C202" s="67" t="s">
        <v>64</v>
      </c>
      <c r="D202" s="68">
        <v>196885.64</v>
      </c>
      <c r="E202" s="68">
        <v>196885.64</v>
      </c>
    </row>
    <row r="203" spans="1:5" ht="15" customHeight="1" x14ac:dyDescent="0.25">
      <c r="A203" s="9">
        <v>46148</v>
      </c>
      <c r="B203" s="67" t="s">
        <v>369</v>
      </c>
      <c r="C203" s="67" t="s">
        <v>59</v>
      </c>
      <c r="D203" s="68">
        <v>52754.66</v>
      </c>
      <c r="E203" s="68">
        <v>52754.66</v>
      </c>
    </row>
    <row r="204" spans="1:5" ht="15" customHeight="1" x14ac:dyDescent="0.25">
      <c r="A204" s="9">
        <v>46148</v>
      </c>
      <c r="B204" s="67" t="s">
        <v>370</v>
      </c>
      <c r="C204" s="67" t="s">
        <v>59</v>
      </c>
      <c r="D204" s="68">
        <v>15963.66</v>
      </c>
      <c r="E204" s="68">
        <v>15963.66</v>
      </c>
    </row>
    <row r="205" spans="1:5" ht="15" customHeight="1" x14ac:dyDescent="0.25">
      <c r="A205" s="9">
        <v>46154</v>
      </c>
      <c r="B205" s="67" t="s">
        <v>327</v>
      </c>
      <c r="C205" s="67" t="s">
        <v>64</v>
      </c>
      <c r="D205" s="68">
        <v>185385.74</v>
      </c>
      <c r="E205" s="68">
        <v>185385.74</v>
      </c>
    </row>
    <row r="206" spans="1:5" ht="15" customHeight="1" x14ac:dyDescent="0.25">
      <c r="A206" s="9">
        <v>46076</v>
      </c>
      <c r="B206" s="67" t="s">
        <v>100</v>
      </c>
      <c r="C206" s="67" t="s">
        <v>101</v>
      </c>
      <c r="D206" s="68">
        <v>8228.69</v>
      </c>
      <c r="E206" s="68">
        <v>8228.69</v>
      </c>
    </row>
    <row r="207" spans="1:5" ht="15" customHeight="1" x14ac:dyDescent="0.25">
      <c r="A207" s="9">
        <v>46080</v>
      </c>
      <c r="B207" s="67" t="s">
        <v>23</v>
      </c>
      <c r="C207" s="67" t="s">
        <v>22</v>
      </c>
      <c r="D207" s="68">
        <v>6928.06</v>
      </c>
      <c r="E207" s="68">
        <v>6928.06</v>
      </c>
    </row>
    <row r="208" spans="1:5" ht="15" customHeight="1" x14ac:dyDescent="0.25">
      <c r="A208" s="9">
        <v>46085</v>
      </c>
      <c r="B208" s="67" t="s">
        <v>371</v>
      </c>
      <c r="C208" s="67" t="s">
        <v>22</v>
      </c>
      <c r="D208" s="68">
        <v>6928.06</v>
      </c>
      <c r="E208" s="68">
        <v>6928.06</v>
      </c>
    </row>
    <row r="209" spans="1:5" ht="15" customHeight="1" x14ac:dyDescent="0.25">
      <c r="A209" s="9">
        <v>46090</v>
      </c>
      <c r="B209" s="67" t="s">
        <v>24</v>
      </c>
      <c r="C209" s="67" t="s">
        <v>22</v>
      </c>
      <c r="D209" s="68">
        <v>4185.13</v>
      </c>
      <c r="E209" s="68">
        <v>4185.13</v>
      </c>
    </row>
    <row r="210" spans="1:5" ht="15" customHeight="1" x14ac:dyDescent="0.25">
      <c r="A210" s="9">
        <v>46094</v>
      </c>
      <c r="B210" s="67" t="s">
        <v>328</v>
      </c>
      <c r="C210" s="67" t="s">
        <v>329</v>
      </c>
      <c r="D210" s="68">
        <v>12916.88</v>
      </c>
      <c r="E210" s="68">
        <v>12916.88</v>
      </c>
    </row>
    <row r="211" spans="1:5" ht="15" customHeight="1" x14ac:dyDescent="0.25">
      <c r="A211" s="9">
        <v>46111</v>
      </c>
      <c r="B211" s="67" t="s">
        <v>25</v>
      </c>
      <c r="C211" s="67" t="s">
        <v>22</v>
      </c>
      <c r="D211" s="68">
        <v>5360.2</v>
      </c>
      <c r="E211" s="68">
        <v>5360.2</v>
      </c>
    </row>
    <row r="212" spans="1:5" ht="15" customHeight="1" x14ac:dyDescent="0.25">
      <c r="A212" s="9">
        <v>46115</v>
      </c>
      <c r="B212" s="67" t="s">
        <v>372</v>
      </c>
      <c r="C212" s="67" t="s">
        <v>22</v>
      </c>
      <c r="D212" s="68">
        <v>5360.2</v>
      </c>
      <c r="E212" s="68">
        <v>5360.2</v>
      </c>
    </row>
    <row r="213" spans="1:5" ht="15" customHeight="1" x14ac:dyDescent="0.25">
      <c r="A213" s="9">
        <v>46120</v>
      </c>
      <c r="B213" s="67" t="s">
        <v>26</v>
      </c>
      <c r="C213" s="67" t="s">
        <v>22</v>
      </c>
      <c r="D213" s="68">
        <v>4185.1400000000003</v>
      </c>
      <c r="E213" s="68">
        <v>4185.1400000000003</v>
      </c>
    </row>
    <row r="214" spans="1:5" ht="15" customHeight="1" x14ac:dyDescent="0.25">
      <c r="A214" s="9">
        <v>46125</v>
      </c>
      <c r="B214" s="67" t="s">
        <v>330</v>
      </c>
      <c r="C214" s="67" t="s">
        <v>329</v>
      </c>
      <c r="D214" s="68">
        <v>11782.32</v>
      </c>
      <c r="E214" s="68">
        <v>11782.32</v>
      </c>
    </row>
    <row r="215" spans="1:5" ht="15" customHeight="1" x14ac:dyDescent="0.25">
      <c r="A215" s="9">
        <v>46140</v>
      </c>
      <c r="B215" s="67" t="s">
        <v>27</v>
      </c>
      <c r="C215" s="67" t="s">
        <v>22</v>
      </c>
      <c r="D215" s="68">
        <v>5360.2</v>
      </c>
      <c r="E215" s="68">
        <v>5360.2</v>
      </c>
    </row>
    <row r="216" spans="1:5" ht="15" customHeight="1" x14ac:dyDescent="0.25">
      <c r="A216" s="9">
        <v>46146</v>
      </c>
      <c r="B216" s="67" t="s">
        <v>373</v>
      </c>
      <c r="C216" s="67" t="s">
        <v>22</v>
      </c>
      <c r="D216" s="68">
        <v>5360.2</v>
      </c>
      <c r="E216" s="68">
        <v>5360.2</v>
      </c>
    </row>
    <row r="217" spans="1:5" ht="15" customHeight="1" x14ac:dyDescent="0.25">
      <c r="A217" s="9">
        <v>46154</v>
      </c>
      <c r="B217" s="67" t="s">
        <v>331</v>
      </c>
      <c r="C217" s="67" t="s">
        <v>329</v>
      </c>
      <c r="D217" s="68">
        <v>11782.33</v>
      </c>
      <c r="E217" s="68">
        <v>11782.33</v>
      </c>
    </row>
    <row r="218" spans="1:5" ht="15" customHeight="1" x14ac:dyDescent="0.25">
      <c r="A218" s="9">
        <v>46076</v>
      </c>
      <c r="B218" s="67" t="s">
        <v>69</v>
      </c>
      <c r="C218" s="67" t="s">
        <v>68</v>
      </c>
      <c r="D218" s="68">
        <v>14770.64</v>
      </c>
      <c r="E218" s="68">
        <v>14770.64</v>
      </c>
    </row>
    <row r="219" spans="1:5" ht="15" customHeight="1" x14ac:dyDescent="0.25">
      <c r="A219" s="9">
        <v>46087</v>
      </c>
      <c r="B219" s="67" t="s">
        <v>374</v>
      </c>
      <c r="C219" s="67" t="s">
        <v>57</v>
      </c>
      <c r="D219" s="68">
        <v>12400</v>
      </c>
      <c r="E219" s="68">
        <v>12400</v>
      </c>
    </row>
    <row r="220" spans="1:5" ht="15" customHeight="1" x14ac:dyDescent="0.25">
      <c r="A220" s="9">
        <v>46093</v>
      </c>
      <c r="B220" s="67" t="s">
        <v>332</v>
      </c>
      <c r="C220" s="67" t="s">
        <v>68</v>
      </c>
      <c r="D220" s="68">
        <v>6200</v>
      </c>
      <c r="E220" s="68">
        <v>6200</v>
      </c>
    </row>
    <row r="221" spans="1:5" ht="15" customHeight="1" x14ac:dyDescent="0.25">
      <c r="A221" s="9">
        <v>46098</v>
      </c>
      <c r="B221" s="67" t="s">
        <v>58</v>
      </c>
      <c r="C221" s="67" t="s">
        <v>57</v>
      </c>
      <c r="D221" s="68">
        <v>16421.400000000001</v>
      </c>
      <c r="E221" s="68">
        <v>16421.400000000001</v>
      </c>
    </row>
    <row r="222" spans="1:5" ht="15.75" x14ac:dyDescent="0.25">
      <c r="A222" s="9">
        <v>46105</v>
      </c>
      <c r="B222" s="67" t="s">
        <v>70</v>
      </c>
      <c r="C222" s="67" t="s">
        <v>68</v>
      </c>
      <c r="D222" s="68">
        <v>14770.65</v>
      </c>
      <c r="E222" s="68">
        <v>14770.65</v>
      </c>
    </row>
    <row r="223" spans="1:5" ht="15.75" x14ac:dyDescent="0.25">
      <c r="A223" s="9">
        <v>46090</v>
      </c>
      <c r="B223" s="67" t="s">
        <v>333</v>
      </c>
      <c r="C223" s="67" t="s">
        <v>334</v>
      </c>
      <c r="D223" s="68">
        <v>91461.86</v>
      </c>
      <c r="E223" s="68">
        <v>91461.86</v>
      </c>
    </row>
    <row r="224" spans="1:5" ht="15.75" x14ac:dyDescent="0.25">
      <c r="A224" s="9">
        <v>46094</v>
      </c>
      <c r="B224" s="67" t="s">
        <v>337</v>
      </c>
      <c r="C224" s="67" t="s">
        <v>334</v>
      </c>
      <c r="D224" s="68">
        <v>76006.240000000005</v>
      </c>
      <c r="E224" s="68">
        <v>76006.240000000005</v>
      </c>
    </row>
    <row r="225" spans="1:5" ht="15.75" x14ac:dyDescent="0.25">
      <c r="A225" s="9">
        <v>46119</v>
      </c>
      <c r="B225" s="67" t="s">
        <v>335</v>
      </c>
      <c r="C225" s="67" t="s">
        <v>334</v>
      </c>
      <c r="D225" s="68">
        <v>91460</v>
      </c>
      <c r="E225" s="68">
        <v>91460</v>
      </c>
    </row>
    <row r="226" spans="1:5" ht="15.75" x14ac:dyDescent="0.25">
      <c r="A226" s="9">
        <v>46149</v>
      </c>
      <c r="B226" s="67" t="s">
        <v>336</v>
      </c>
      <c r="C226" s="67" t="s">
        <v>334</v>
      </c>
      <c r="D226" s="68">
        <v>91460</v>
      </c>
      <c r="E226" s="68">
        <v>91460</v>
      </c>
    </row>
    <row r="227" spans="1:5" ht="15.75" x14ac:dyDescent="0.25">
      <c r="A227" s="9">
        <v>46125</v>
      </c>
      <c r="B227" s="59" t="s">
        <v>330</v>
      </c>
      <c r="C227" s="60" t="s">
        <v>329</v>
      </c>
      <c r="D227" s="61">
        <v>11782.32</v>
      </c>
      <c r="E227" s="61">
        <v>11782.32</v>
      </c>
    </row>
    <row r="228" spans="1:5" ht="15.75" x14ac:dyDescent="0.25">
      <c r="A228" s="9">
        <v>46126</v>
      </c>
      <c r="B228" s="59" t="s">
        <v>304</v>
      </c>
      <c r="C228" s="60" t="s">
        <v>28</v>
      </c>
      <c r="D228" s="61">
        <v>35200.370000000003</v>
      </c>
      <c r="E228" s="61">
        <v>35200.370000000003</v>
      </c>
    </row>
    <row r="229" spans="1:5" ht="15.75" x14ac:dyDescent="0.25">
      <c r="A229" s="9">
        <v>46126</v>
      </c>
      <c r="B229" s="59" t="s">
        <v>316</v>
      </c>
      <c r="C229" s="60" t="s">
        <v>28</v>
      </c>
      <c r="D229" s="61">
        <v>58028</v>
      </c>
      <c r="E229" s="61">
        <v>58028</v>
      </c>
    </row>
    <row r="230" spans="1:5" ht="15.75" x14ac:dyDescent="0.25">
      <c r="A230" s="9">
        <v>46128</v>
      </c>
      <c r="B230" s="6" t="s">
        <v>66</v>
      </c>
      <c r="C230" s="7" t="s">
        <v>65</v>
      </c>
      <c r="D230" s="8">
        <v>53202.34</v>
      </c>
      <c r="E230" s="8">
        <v>53202.34</v>
      </c>
    </row>
    <row r="231" spans="1:5" ht="15.75" x14ac:dyDescent="0.25">
      <c r="A231" s="9">
        <v>46128</v>
      </c>
      <c r="B231" s="3" t="s">
        <v>67</v>
      </c>
      <c r="C231" s="4" t="s">
        <v>65</v>
      </c>
      <c r="D231" s="5">
        <v>136903.6</v>
      </c>
      <c r="E231" s="5">
        <v>136903.6</v>
      </c>
    </row>
    <row r="232" spans="1:5" ht="15.75" x14ac:dyDescent="0.25">
      <c r="A232" s="9">
        <v>46128</v>
      </c>
      <c r="B232" s="6" t="s">
        <v>87</v>
      </c>
      <c r="C232" s="7" t="s">
        <v>88</v>
      </c>
      <c r="D232" s="8">
        <v>3595.12</v>
      </c>
      <c r="E232" s="8">
        <v>3595.12</v>
      </c>
    </row>
    <row r="233" spans="1:5" ht="15.75" x14ac:dyDescent="0.25">
      <c r="A233" s="9">
        <v>46129</v>
      </c>
      <c r="B233" s="3" t="s">
        <v>110</v>
      </c>
      <c r="C233" s="4" t="s">
        <v>102</v>
      </c>
      <c r="D233" s="5">
        <v>48268.54</v>
      </c>
      <c r="E233" s="5">
        <v>48268.54</v>
      </c>
    </row>
    <row r="234" spans="1:5" ht="15.75" x14ac:dyDescent="0.25">
      <c r="A234" s="9">
        <v>46133</v>
      </c>
      <c r="B234" s="6" t="s">
        <v>82</v>
      </c>
      <c r="C234" s="7" t="s">
        <v>71</v>
      </c>
      <c r="D234" s="8">
        <v>85493.34</v>
      </c>
      <c r="E234" s="8">
        <v>85493.34</v>
      </c>
    </row>
    <row r="235" spans="1:5" ht="15.75" x14ac:dyDescent="0.25">
      <c r="A235" s="9">
        <v>46133</v>
      </c>
      <c r="B235" s="6" t="s">
        <v>111</v>
      </c>
      <c r="C235" s="7" t="s">
        <v>102</v>
      </c>
      <c r="D235" s="8">
        <v>47582.9</v>
      </c>
      <c r="E235" s="8">
        <v>47582.9</v>
      </c>
    </row>
    <row r="236" spans="1:5" ht="15.75" x14ac:dyDescent="0.25">
      <c r="A236" s="9">
        <v>46134</v>
      </c>
      <c r="B236" s="3" t="s">
        <v>112</v>
      </c>
      <c r="C236" s="4" t="s">
        <v>102</v>
      </c>
      <c r="D236" s="5">
        <v>48706.64</v>
      </c>
      <c r="E236" s="5">
        <v>48706.64</v>
      </c>
    </row>
    <row r="237" spans="1:5" ht="15.75" x14ac:dyDescent="0.25">
      <c r="A237" s="9">
        <v>46135</v>
      </c>
      <c r="B237" s="6" t="s">
        <v>47</v>
      </c>
      <c r="C237" s="7" t="s">
        <v>28</v>
      </c>
      <c r="D237" s="8">
        <v>54620</v>
      </c>
      <c r="E237" s="8">
        <v>54620</v>
      </c>
    </row>
    <row r="238" spans="1:5" ht="15.75" x14ac:dyDescent="0.25">
      <c r="A238" s="9">
        <v>46135</v>
      </c>
      <c r="B238" s="3" t="s">
        <v>48</v>
      </c>
      <c r="C238" s="4" t="s">
        <v>28</v>
      </c>
      <c r="D238" s="5">
        <v>83900.25</v>
      </c>
      <c r="E238" s="5">
        <v>83900.25</v>
      </c>
    </row>
    <row r="239" spans="1:5" ht="15.75" x14ac:dyDescent="0.25">
      <c r="A239" s="9">
        <v>46135</v>
      </c>
      <c r="B239" s="6" t="s">
        <v>49</v>
      </c>
      <c r="C239" s="7" t="s">
        <v>28</v>
      </c>
      <c r="D239" s="8">
        <v>30880</v>
      </c>
      <c r="E239" s="8">
        <v>30880</v>
      </c>
    </row>
    <row r="240" spans="1:5" ht="15.75" x14ac:dyDescent="0.25">
      <c r="A240" s="9">
        <v>46135</v>
      </c>
      <c r="B240" s="3" t="s">
        <v>50</v>
      </c>
      <c r="C240" s="4" t="s">
        <v>28</v>
      </c>
      <c r="D240" s="5">
        <v>50580</v>
      </c>
      <c r="E240" s="5">
        <v>50580</v>
      </c>
    </row>
    <row r="241" spans="1:5" ht="15.75" x14ac:dyDescent="0.25">
      <c r="A241" s="9">
        <v>46135</v>
      </c>
      <c r="B241" s="6" t="s">
        <v>123</v>
      </c>
      <c r="C241" s="7" t="s">
        <v>115</v>
      </c>
      <c r="D241" s="8">
        <v>49003.44</v>
      </c>
      <c r="E241" s="8">
        <v>49003.44</v>
      </c>
    </row>
    <row r="242" spans="1:5" ht="15.75" x14ac:dyDescent="0.25">
      <c r="A242" s="9">
        <v>46139</v>
      </c>
      <c r="B242" s="6" t="s">
        <v>51</v>
      </c>
      <c r="C242" s="7" t="s">
        <v>28</v>
      </c>
      <c r="D242" s="8">
        <v>43500</v>
      </c>
      <c r="E242" s="8">
        <v>43500</v>
      </c>
    </row>
    <row r="243" spans="1:5" ht="15.75" x14ac:dyDescent="0.25">
      <c r="A243" s="9">
        <v>46139</v>
      </c>
      <c r="B243" s="3" t="s">
        <v>83</v>
      </c>
      <c r="C243" s="4" t="s">
        <v>71</v>
      </c>
      <c r="D243" s="5">
        <v>39900</v>
      </c>
      <c r="E243" s="5">
        <v>39900</v>
      </c>
    </row>
    <row r="244" spans="1:5" ht="15.75" x14ac:dyDescent="0.25">
      <c r="A244" s="9">
        <v>46139</v>
      </c>
      <c r="B244" s="6" t="s">
        <v>84</v>
      </c>
      <c r="C244" s="7" t="s">
        <v>71</v>
      </c>
      <c r="D244" s="8">
        <v>53375</v>
      </c>
      <c r="E244" s="8">
        <v>53375</v>
      </c>
    </row>
    <row r="245" spans="1:5" ht="15.75" x14ac:dyDescent="0.25">
      <c r="A245" s="9">
        <v>46140</v>
      </c>
      <c r="B245" s="3" t="s">
        <v>27</v>
      </c>
      <c r="C245" s="4" t="s">
        <v>22</v>
      </c>
      <c r="D245" s="5">
        <v>5360.2</v>
      </c>
      <c r="E245" s="5">
        <v>5360.2</v>
      </c>
    </row>
    <row r="246" spans="1:5" ht="15.75" x14ac:dyDescent="0.25">
      <c r="A246" s="9">
        <v>46141</v>
      </c>
      <c r="B246" s="13" t="s">
        <v>242</v>
      </c>
      <c r="C246" s="14" t="s">
        <v>0</v>
      </c>
      <c r="D246" s="15">
        <v>70468.899999999994</v>
      </c>
      <c r="E246" s="15">
        <v>70468.899999999994</v>
      </c>
    </row>
    <row r="247" spans="1:5" ht="15.75" x14ac:dyDescent="0.25">
      <c r="A247" s="9">
        <v>46141</v>
      </c>
      <c r="B247" s="13" t="s">
        <v>253</v>
      </c>
      <c r="C247" s="14" t="s">
        <v>0</v>
      </c>
      <c r="D247" s="15">
        <v>19149.95</v>
      </c>
      <c r="E247" s="15">
        <v>19149.95</v>
      </c>
    </row>
    <row r="248" spans="1:5" ht="15.75" x14ac:dyDescent="0.25">
      <c r="A248" s="9">
        <v>46141</v>
      </c>
      <c r="B248" s="13" t="s">
        <v>238</v>
      </c>
      <c r="C248" s="14" t="s">
        <v>7</v>
      </c>
      <c r="D248" s="15">
        <v>89619.6</v>
      </c>
      <c r="E248" s="15">
        <v>89619.6</v>
      </c>
    </row>
    <row r="249" spans="1:5" ht="15.75" x14ac:dyDescent="0.25">
      <c r="A249" s="9">
        <v>46141</v>
      </c>
      <c r="B249" s="13" t="s">
        <v>246</v>
      </c>
      <c r="C249" s="14" t="s">
        <v>12</v>
      </c>
      <c r="D249" s="15">
        <v>28817.599999999999</v>
      </c>
      <c r="E249" s="15">
        <v>28817.599999999999</v>
      </c>
    </row>
    <row r="250" spans="1:5" ht="26.25" customHeight="1" x14ac:dyDescent="0.25">
      <c r="A250" s="9">
        <v>46141</v>
      </c>
      <c r="B250" s="13" t="s">
        <v>250</v>
      </c>
      <c r="C250" s="14" t="s">
        <v>12</v>
      </c>
      <c r="D250" s="15">
        <v>8500</v>
      </c>
      <c r="E250" s="15">
        <v>8500</v>
      </c>
    </row>
    <row r="251" spans="1:5" ht="15.75" x14ac:dyDescent="0.25">
      <c r="A251" s="9">
        <v>46141</v>
      </c>
      <c r="B251" s="13" t="s">
        <v>261</v>
      </c>
      <c r="C251" s="14" t="s">
        <v>13</v>
      </c>
      <c r="D251" s="15">
        <v>73982.91</v>
      </c>
      <c r="E251" s="15">
        <v>73982.91</v>
      </c>
    </row>
    <row r="252" spans="1:5" ht="15.75" x14ac:dyDescent="0.25">
      <c r="A252" s="9">
        <v>46141</v>
      </c>
      <c r="B252" s="13" t="s">
        <v>264</v>
      </c>
      <c r="C252" s="14" t="s">
        <v>13</v>
      </c>
      <c r="D252" s="15">
        <v>770.14</v>
      </c>
      <c r="E252" s="15">
        <v>770.14</v>
      </c>
    </row>
    <row r="253" spans="1:5" ht="15.75" x14ac:dyDescent="0.25">
      <c r="A253" s="9">
        <v>46141</v>
      </c>
      <c r="B253" s="13" t="s">
        <v>257</v>
      </c>
      <c r="C253" s="14" t="s">
        <v>102</v>
      </c>
      <c r="D253" s="15">
        <v>48706.64</v>
      </c>
      <c r="E253" s="15">
        <v>48706.64</v>
      </c>
    </row>
    <row r="254" spans="1:5" ht="15.75" x14ac:dyDescent="0.25">
      <c r="A254" s="9">
        <v>46142</v>
      </c>
      <c r="B254" s="6" t="s">
        <v>267</v>
      </c>
      <c r="C254" s="7" t="s">
        <v>92</v>
      </c>
      <c r="D254" s="8">
        <v>109460</v>
      </c>
      <c r="E254" s="8">
        <v>109460</v>
      </c>
    </row>
    <row r="255" spans="1:5" ht="15.75" x14ac:dyDescent="0.25">
      <c r="A255" s="9">
        <v>46149</v>
      </c>
      <c r="B255" s="59" t="s">
        <v>277</v>
      </c>
      <c r="C255" s="60" t="s">
        <v>28</v>
      </c>
      <c r="D255" s="61">
        <v>27584.75</v>
      </c>
      <c r="E255" s="61">
        <v>27584.75</v>
      </c>
    </row>
    <row r="256" spans="1:5" ht="15.75" x14ac:dyDescent="0.25">
      <c r="A256" s="9">
        <v>46149</v>
      </c>
      <c r="B256" s="59" t="s">
        <v>281</v>
      </c>
      <c r="C256" s="60" t="s">
        <v>28</v>
      </c>
      <c r="D256" s="61">
        <v>58026.63</v>
      </c>
      <c r="E256" s="61">
        <v>58026.63</v>
      </c>
    </row>
    <row r="257" spans="1:5" ht="15.75" x14ac:dyDescent="0.25">
      <c r="A257" s="9">
        <v>46149</v>
      </c>
      <c r="B257" s="59" t="s">
        <v>336</v>
      </c>
      <c r="C257" s="60" t="s">
        <v>334</v>
      </c>
      <c r="D257" s="61">
        <v>91460</v>
      </c>
      <c r="E257" s="61">
        <v>91460</v>
      </c>
    </row>
    <row r="258" spans="1:5" ht="15.75" x14ac:dyDescent="0.25">
      <c r="A258" s="9">
        <v>46154</v>
      </c>
      <c r="B258" s="59" t="s">
        <v>286</v>
      </c>
      <c r="C258" s="60" t="s">
        <v>28</v>
      </c>
      <c r="D258" s="61">
        <v>9001.51</v>
      </c>
      <c r="E258" s="61">
        <v>9001.51</v>
      </c>
    </row>
    <row r="259" spans="1:5" ht="15.75" x14ac:dyDescent="0.25">
      <c r="A259" s="9">
        <v>46154</v>
      </c>
      <c r="B259" s="59" t="s">
        <v>293</v>
      </c>
      <c r="C259" s="60" t="s">
        <v>28</v>
      </c>
      <c r="D259" s="61">
        <v>5481.89</v>
      </c>
      <c r="E259" s="61">
        <v>5481.89</v>
      </c>
    </row>
    <row r="260" spans="1:5" ht="15.75" x14ac:dyDescent="0.25">
      <c r="A260" s="9">
        <v>46154</v>
      </c>
      <c r="B260" s="59" t="s">
        <v>322</v>
      </c>
      <c r="C260" s="60" t="s">
        <v>65</v>
      </c>
      <c r="D260" s="61">
        <v>185385.64</v>
      </c>
      <c r="E260" s="61">
        <v>185385.64</v>
      </c>
    </row>
    <row r="261" spans="1:5" ht="15.75" x14ac:dyDescent="0.25">
      <c r="A261" s="9">
        <v>46154</v>
      </c>
      <c r="B261" s="59" t="s">
        <v>327</v>
      </c>
      <c r="C261" s="60" t="s">
        <v>64</v>
      </c>
      <c r="D261" s="61">
        <v>185385.74</v>
      </c>
      <c r="E261" s="61">
        <v>185385.74</v>
      </c>
    </row>
    <row r="262" spans="1:5" ht="15.75" x14ac:dyDescent="0.25">
      <c r="A262" s="9">
        <v>46154</v>
      </c>
      <c r="B262" s="59" t="s">
        <v>331</v>
      </c>
      <c r="C262" s="60" t="s">
        <v>329</v>
      </c>
      <c r="D262" s="61">
        <v>11782.33</v>
      </c>
      <c r="E262" s="61">
        <v>11782.33</v>
      </c>
    </row>
    <row r="263" spans="1:5" ht="15.75" x14ac:dyDescent="0.25">
      <c r="A263" s="9">
        <v>46155</v>
      </c>
      <c r="B263" s="59" t="s">
        <v>296</v>
      </c>
      <c r="C263" s="60" t="s">
        <v>28</v>
      </c>
      <c r="D263" s="61">
        <v>37344.720000000001</v>
      </c>
      <c r="E263" s="61">
        <v>37344.720000000001</v>
      </c>
    </row>
    <row r="264" spans="1:5" ht="15.75" x14ac:dyDescent="0.25">
      <c r="A264" s="9">
        <v>46155</v>
      </c>
      <c r="B264" s="59" t="s">
        <v>300</v>
      </c>
      <c r="C264" s="60" t="s">
        <v>28</v>
      </c>
      <c r="D264" s="61">
        <v>88117.04</v>
      </c>
      <c r="E264" s="61">
        <v>88117.04</v>
      </c>
    </row>
    <row r="265" spans="1:5" ht="15.75" x14ac:dyDescent="0.25">
      <c r="A265" s="9">
        <v>46155</v>
      </c>
      <c r="B265" s="59" t="s">
        <v>309</v>
      </c>
      <c r="C265" s="60" t="s">
        <v>62</v>
      </c>
      <c r="D265" s="61">
        <v>82309.86</v>
      </c>
      <c r="E265" s="61">
        <v>82309.86</v>
      </c>
    </row>
    <row r="266" spans="1:5" ht="15.75" x14ac:dyDescent="0.25">
      <c r="A266" s="9">
        <v>46155</v>
      </c>
      <c r="B266" s="59" t="s">
        <v>313</v>
      </c>
      <c r="C266" s="60" t="s">
        <v>115</v>
      </c>
      <c r="D266" s="61">
        <v>60885.5</v>
      </c>
      <c r="E266" s="61">
        <v>60885.5</v>
      </c>
    </row>
    <row r="267" spans="1:5" ht="15.75" x14ac:dyDescent="0.25">
      <c r="A267" s="9">
        <v>46156</v>
      </c>
      <c r="B267" s="59" t="s">
        <v>305</v>
      </c>
      <c r="C267" s="60" t="s">
        <v>28</v>
      </c>
      <c r="D267" s="61">
        <v>35200.370000000003</v>
      </c>
      <c r="E267" s="61">
        <v>35200.370000000003</v>
      </c>
    </row>
    <row r="268" spans="1:5" ht="15.75" x14ac:dyDescent="0.25">
      <c r="A268" s="9">
        <v>46156</v>
      </c>
      <c r="B268" s="59" t="s">
        <v>317</v>
      </c>
      <c r="C268" s="60" t="s">
        <v>28</v>
      </c>
      <c r="D268" s="61">
        <v>58028</v>
      </c>
      <c r="E268" s="61">
        <v>58028</v>
      </c>
    </row>
    <row r="269" spans="1:5" ht="15.75" x14ac:dyDescent="0.25">
      <c r="A269" s="9">
        <v>46163</v>
      </c>
      <c r="B269" s="6" t="s">
        <v>113</v>
      </c>
      <c r="C269" s="7" t="s">
        <v>102</v>
      </c>
      <c r="D269" s="8">
        <v>47582.89</v>
      </c>
      <c r="E269" s="8">
        <v>47582.89</v>
      </c>
    </row>
    <row r="270" spans="1:5" ht="15.75" x14ac:dyDescent="0.25">
      <c r="A270" s="9">
        <v>46164</v>
      </c>
      <c r="B270" s="3" t="s">
        <v>114</v>
      </c>
      <c r="C270" s="4" t="s">
        <v>102</v>
      </c>
      <c r="D270" s="5">
        <v>48706.64</v>
      </c>
      <c r="E270" s="5">
        <v>48706.64</v>
      </c>
    </row>
    <row r="271" spans="1:5" ht="15.75" x14ac:dyDescent="0.25">
      <c r="A271" s="9">
        <v>46167</v>
      </c>
      <c r="B271" s="3" t="s">
        <v>52</v>
      </c>
      <c r="C271" s="4" t="s">
        <v>28</v>
      </c>
      <c r="D271" s="5">
        <v>54620</v>
      </c>
      <c r="E271" s="5">
        <v>54620</v>
      </c>
    </row>
    <row r="272" spans="1:5" ht="15.75" x14ac:dyDescent="0.25">
      <c r="A272" s="9">
        <v>46167</v>
      </c>
      <c r="B272" s="6" t="s">
        <v>53</v>
      </c>
      <c r="C272" s="7" t="s">
        <v>28</v>
      </c>
      <c r="D272" s="8">
        <v>83900.25</v>
      </c>
      <c r="E272" s="8">
        <v>83900.25</v>
      </c>
    </row>
    <row r="273" spans="1:5" ht="15.75" x14ac:dyDescent="0.25">
      <c r="A273" s="9">
        <v>46167</v>
      </c>
      <c r="B273" s="3" t="s">
        <v>54</v>
      </c>
      <c r="C273" s="4" t="s">
        <v>28</v>
      </c>
      <c r="D273" s="5">
        <v>30880.01</v>
      </c>
      <c r="E273" s="5">
        <v>30880.01</v>
      </c>
    </row>
    <row r="274" spans="1:5" ht="15.75" x14ac:dyDescent="0.25">
      <c r="A274" s="9">
        <v>46167</v>
      </c>
      <c r="B274" s="6" t="s">
        <v>55</v>
      </c>
      <c r="C274" s="7" t="s">
        <v>28</v>
      </c>
      <c r="D274" s="8">
        <v>50580</v>
      </c>
      <c r="E274" s="8">
        <v>50580</v>
      </c>
    </row>
    <row r="275" spans="1:5" ht="15.75" x14ac:dyDescent="0.25">
      <c r="A275" s="9">
        <v>46169</v>
      </c>
      <c r="B275" s="3" t="s">
        <v>56</v>
      </c>
      <c r="C275" s="4" t="s">
        <v>28</v>
      </c>
      <c r="D275" s="5">
        <v>43500</v>
      </c>
      <c r="E275" s="5">
        <v>43500</v>
      </c>
    </row>
    <row r="276" spans="1:5" ht="15.75" x14ac:dyDescent="0.25">
      <c r="A276" s="9">
        <v>46169</v>
      </c>
      <c r="B276" s="3" t="s">
        <v>85</v>
      </c>
      <c r="C276" s="4" t="s">
        <v>71</v>
      </c>
      <c r="D276" s="5">
        <v>39900</v>
      </c>
      <c r="E276" s="5">
        <v>39900</v>
      </c>
    </row>
    <row r="277" spans="1:5" ht="15.75" x14ac:dyDescent="0.25">
      <c r="A277" s="9">
        <v>46169</v>
      </c>
      <c r="B277" s="6" t="s">
        <v>86</v>
      </c>
      <c r="C277" s="7" t="s">
        <v>71</v>
      </c>
      <c r="D277" s="8">
        <v>53375</v>
      </c>
      <c r="E277" s="8">
        <v>53375</v>
      </c>
    </row>
    <row r="278" spans="1:5" ht="15.75" x14ac:dyDescent="0.25">
      <c r="A278" s="9">
        <v>46171</v>
      </c>
      <c r="B278" s="13" t="s">
        <v>243</v>
      </c>
      <c r="C278" s="14" t="s">
        <v>0</v>
      </c>
      <c r="D278" s="15">
        <v>70468.899999999994</v>
      </c>
      <c r="E278" s="15">
        <v>70468.899999999994</v>
      </c>
    </row>
    <row r="279" spans="1:5" ht="15.75" x14ac:dyDescent="0.25">
      <c r="A279" s="9">
        <v>46171</v>
      </c>
      <c r="B279" s="13" t="s">
        <v>254</v>
      </c>
      <c r="C279" s="14" t="s">
        <v>0</v>
      </c>
      <c r="D279" s="15">
        <v>19149.939999999999</v>
      </c>
      <c r="E279" s="15">
        <v>19149.939999999999</v>
      </c>
    </row>
    <row r="280" spans="1:5" ht="15.75" x14ac:dyDescent="0.25">
      <c r="A280" s="9">
        <v>46171</v>
      </c>
      <c r="B280" s="13" t="s">
        <v>239</v>
      </c>
      <c r="C280" s="14" t="s">
        <v>7</v>
      </c>
      <c r="D280" s="15">
        <v>89619.6</v>
      </c>
      <c r="E280" s="15">
        <v>89619.6</v>
      </c>
    </row>
    <row r="281" spans="1:5" ht="15.75" x14ac:dyDescent="0.25">
      <c r="A281" s="9">
        <v>46171</v>
      </c>
      <c r="B281" s="13" t="s">
        <v>258</v>
      </c>
      <c r="C281" s="14" t="s">
        <v>102</v>
      </c>
      <c r="D281" s="15">
        <v>48706.64</v>
      </c>
      <c r="E281" s="15">
        <v>48706.64</v>
      </c>
    </row>
    <row r="282" spans="1:5" ht="15.75" x14ac:dyDescent="0.25">
      <c r="A282" s="9">
        <v>46181</v>
      </c>
      <c r="B282" s="59" t="s">
        <v>278</v>
      </c>
      <c r="C282" s="60" t="s">
        <v>28</v>
      </c>
      <c r="D282" s="61">
        <v>27584.73</v>
      </c>
      <c r="E282" s="61">
        <v>27584.73</v>
      </c>
    </row>
    <row r="283" spans="1:5" ht="15.75" x14ac:dyDescent="0.25">
      <c r="A283" s="9">
        <v>46181</v>
      </c>
      <c r="B283" s="59" t="s">
        <v>282</v>
      </c>
      <c r="C283" s="60" t="s">
        <v>28</v>
      </c>
      <c r="D283" s="61">
        <v>58026.64</v>
      </c>
      <c r="E283" s="61">
        <v>58026.64</v>
      </c>
    </row>
    <row r="284" spans="1:5" ht="15.75" x14ac:dyDescent="0.25">
      <c r="A284" s="9">
        <v>46185</v>
      </c>
      <c r="B284" s="59" t="s">
        <v>297</v>
      </c>
      <c r="C284" s="60" t="s">
        <v>28</v>
      </c>
      <c r="D284" s="61">
        <v>37344.730000000003</v>
      </c>
      <c r="E284" s="61">
        <v>37344.730000000003</v>
      </c>
    </row>
    <row r="285" spans="1:5" ht="15.75" x14ac:dyDescent="0.25">
      <c r="A285" s="9">
        <v>46185</v>
      </c>
      <c r="B285" s="59" t="s">
        <v>301</v>
      </c>
      <c r="C285" s="60" t="s">
        <v>28</v>
      </c>
      <c r="D285" s="61">
        <v>88117.03</v>
      </c>
      <c r="E285" s="61">
        <v>88117.03</v>
      </c>
    </row>
    <row r="286" spans="1:5" ht="15.75" x14ac:dyDescent="0.25">
      <c r="A286" s="9">
        <v>46185</v>
      </c>
      <c r="B286" s="59" t="s">
        <v>314</v>
      </c>
      <c r="C286" s="60" t="s">
        <v>115</v>
      </c>
      <c r="D286" s="61">
        <v>60885.5</v>
      </c>
      <c r="E286" s="61">
        <v>60885.5</v>
      </c>
    </row>
    <row r="287" spans="1:5" ht="15.75" x14ac:dyDescent="0.25">
      <c r="A287" s="9">
        <v>46188</v>
      </c>
      <c r="B287" s="59" t="s">
        <v>306</v>
      </c>
      <c r="C287" s="60" t="s">
        <v>28</v>
      </c>
      <c r="D287" s="61">
        <v>35200.35</v>
      </c>
      <c r="E287" s="61">
        <v>35200.35</v>
      </c>
    </row>
    <row r="288" spans="1:5" ht="15.75" x14ac:dyDescent="0.25">
      <c r="A288" s="9">
        <v>46188</v>
      </c>
      <c r="B288" s="59" t="s">
        <v>318</v>
      </c>
      <c r="C288" s="60" t="s">
        <v>28</v>
      </c>
      <c r="D288" s="61">
        <v>58028</v>
      </c>
      <c r="E288" s="61">
        <v>58028</v>
      </c>
    </row>
  </sheetData>
  <pageMargins left="0.25" right="0" top="0.25" bottom="0.25" header="0" footer="0"/>
  <pageSetup paperSize="9" scale="10" firstPageNumber="0" fitToHeight="0" orientation="portrait" horizontalDpi="0" verticalDpi="0" r:id="rId1"/>
  <headerFooter alignWithMargins="0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4E56-9E2A-443D-A00F-7A5F23AF337D}">
  <dimension ref="A8:C174"/>
  <sheetViews>
    <sheetView showGridLines="0" tabSelected="1" zoomScale="70" zoomScaleNormal="70" workbookViewId="0">
      <selection activeCell="E9" sqref="E9"/>
    </sheetView>
  </sheetViews>
  <sheetFormatPr defaultRowHeight="18.75" x14ac:dyDescent="0.25"/>
  <cols>
    <col min="1" max="1" width="122" style="57" bestFit="1" customWidth="1"/>
    <col min="2" max="2" width="27.42578125" bestFit="1" customWidth="1"/>
    <col min="3" max="3" width="46.42578125" style="58" bestFit="1" customWidth="1"/>
    <col min="4" max="4" width="36.7109375" bestFit="1" customWidth="1"/>
    <col min="5" max="5" width="92.7109375" bestFit="1" customWidth="1"/>
    <col min="6" max="6" width="45.140625" bestFit="1" customWidth="1"/>
    <col min="7" max="7" width="46.7109375" bestFit="1" customWidth="1"/>
    <col min="8" max="8" width="77.42578125" bestFit="1" customWidth="1"/>
    <col min="9" max="9" width="44.5703125" bestFit="1" customWidth="1"/>
    <col min="10" max="10" width="39.5703125" bestFit="1" customWidth="1"/>
    <col min="11" max="11" width="54.140625" bestFit="1" customWidth="1"/>
    <col min="12" max="12" width="41.5703125" bestFit="1" customWidth="1"/>
    <col min="13" max="13" width="39.140625" bestFit="1" customWidth="1"/>
    <col min="14" max="14" width="23.5703125" bestFit="1" customWidth="1"/>
    <col min="15" max="15" width="20.28515625" bestFit="1" customWidth="1"/>
    <col min="16" max="16" width="55.140625" bestFit="1" customWidth="1"/>
    <col min="17" max="17" width="56.140625" bestFit="1" customWidth="1"/>
    <col min="18" max="18" width="25.5703125" bestFit="1" customWidth="1"/>
    <col min="19" max="19" width="43.7109375" bestFit="1" customWidth="1"/>
    <col min="20" max="20" width="43" bestFit="1" customWidth="1"/>
    <col min="21" max="21" width="40.140625" bestFit="1" customWidth="1"/>
    <col min="22" max="22" width="33.42578125" bestFit="1" customWidth="1"/>
    <col min="23" max="23" width="23" bestFit="1" customWidth="1"/>
    <col min="24" max="24" width="39.85546875" bestFit="1" customWidth="1"/>
    <col min="25" max="25" width="23.140625" bestFit="1" customWidth="1"/>
    <col min="26" max="26" width="31.28515625" bestFit="1" customWidth="1"/>
    <col min="27" max="27" width="42.140625" bestFit="1" customWidth="1"/>
    <col min="28" max="28" width="49.5703125" bestFit="1" customWidth="1"/>
    <col min="29" max="29" width="25.140625" bestFit="1" customWidth="1"/>
    <col min="30" max="30" width="51" bestFit="1" customWidth="1"/>
    <col min="31" max="31" width="25.7109375" bestFit="1" customWidth="1"/>
    <col min="32" max="32" width="19.7109375" bestFit="1" customWidth="1"/>
    <col min="33" max="33" width="37.5703125" bestFit="1" customWidth="1"/>
    <col min="34" max="34" width="47" bestFit="1" customWidth="1"/>
    <col min="35" max="35" width="43.85546875" bestFit="1" customWidth="1"/>
    <col min="36" max="36" width="32.28515625" bestFit="1" customWidth="1"/>
    <col min="37" max="37" width="34.140625" bestFit="1" customWidth="1"/>
    <col min="38" max="38" width="39.5703125" bestFit="1" customWidth="1"/>
    <col min="39" max="39" width="22.5703125" bestFit="1" customWidth="1"/>
    <col min="40" max="40" width="38.28515625" bestFit="1" customWidth="1"/>
    <col min="41" max="41" width="26.42578125" bestFit="1" customWidth="1"/>
    <col min="42" max="42" width="73" bestFit="1" customWidth="1"/>
    <col min="43" max="43" width="33.42578125" bestFit="1" customWidth="1"/>
    <col min="44" max="44" width="36.85546875" bestFit="1" customWidth="1"/>
    <col min="45" max="45" width="23" bestFit="1" customWidth="1"/>
    <col min="46" max="46" width="32.28515625" bestFit="1" customWidth="1"/>
    <col min="47" max="47" width="54.5703125" bestFit="1" customWidth="1"/>
    <col min="48" max="48" width="22.85546875" bestFit="1" customWidth="1"/>
    <col min="49" max="49" width="76.5703125" bestFit="1" customWidth="1"/>
    <col min="50" max="50" width="59.140625" bestFit="1" customWidth="1"/>
    <col min="51" max="51" width="38" bestFit="1" customWidth="1"/>
    <col min="52" max="52" width="30.28515625" bestFit="1" customWidth="1"/>
    <col min="53" max="53" width="37.140625" bestFit="1" customWidth="1"/>
    <col min="54" max="54" width="7" bestFit="1" customWidth="1"/>
    <col min="55" max="55" width="10.7109375" bestFit="1" customWidth="1"/>
  </cols>
  <sheetData>
    <row r="8" spans="1:3" ht="21" x14ac:dyDescent="0.25">
      <c r="A8" s="63" t="s">
        <v>129</v>
      </c>
      <c r="B8" s="64" t="s">
        <v>130</v>
      </c>
      <c r="C8" s="65" t="s">
        <v>131</v>
      </c>
    </row>
    <row r="9" spans="1:3" x14ac:dyDescent="0.25">
      <c r="A9" s="62" t="s">
        <v>199</v>
      </c>
      <c r="B9" s="62" t="s">
        <v>200</v>
      </c>
      <c r="C9" s="70">
        <v>600000</v>
      </c>
    </row>
    <row r="10" spans="1:3" x14ac:dyDescent="0.25">
      <c r="A10" s="62" t="s">
        <v>190</v>
      </c>
      <c r="B10" s="62" t="s">
        <v>191</v>
      </c>
      <c r="C10" s="66">
        <v>100000</v>
      </c>
    </row>
    <row r="11" spans="1:3" x14ac:dyDescent="0.25">
      <c r="A11" s="62" t="s">
        <v>271</v>
      </c>
      <c r="B11" s="62" t="s">
        <v>141</v>
      </c>
      <c r="C11" s="66" t="s">
        <v>272</v>
      </c>
    </row>
    <row r="12" spans="1:3" x14ac:dyDescent="0.25">
      <c r="A12" s="62" t="s">
        <v>138</v>
      </c>
      <c r="B12" s="62" t="s">
        <v>139</v>
      </c>
      <c r="C12" s="66">
        <v>2500000</v>
      </c>
    </row>
    <row r="13" spans="1:3" x14ac:dyDescent="0.25">
      <c r="A13" s="62" t="s">
        <v>138</v>
      </c>
      <c r="B13" s="62" t="s">
        <v>157</v>
      </c>
      <c r="C13" s="66" t="s">
        <v>185</v>
      </c>
    </row>
    <row r="14" spans="1:3" x14ac:dyDescent="0.25">
      <c r="A14" s="62" t="s">
        <v>138</v>
      </c>
      <c r="B14" s="62" t="s">
        <v>158</v>
      </c>
      <c r="C14" s="66" t="s">
        <v>185</v>
      </c>
    </row>
    <row r="15" spans="1:3" x14ac:dyDescent="0.25">
      <c r="A15" s="62" t="s">
        <v>183</v>
      </c>
      <c r="B15" s="62" t="s">
        <v>184</v>
      </c>
      <c r="C15" s="66" t="s">
        <v>185</v>
      </c>
    </row>
    <row r="16" spans="1:3" x14ac:dyDescent="0.25">
      <c r="A16" s="62" t="s">
        <v>181</v>
      </c>
      <c r="B16" s="62" t="s">
        <v>182</v>
      </c>
      <c r="C16" s="66">
        <v>350000</v>
      </c>
    </row>
    <row r="17" spans="1:3" x14ac:dyDescent="0.25">
      <c r="A17" s="62" t="s">
        <v>164</v>
      </c>
      <c r="B17" s="62" t="s">
        <v>165</v>
      </c>
      <c r="C17" s="66">
        <v>500000</v>
      </c>
    </row>
    <row r="18" spans="1:3" x14ac:dyDescent="0.25">
      <c r="A18" s="62" t="s">
        <v>195</v>
      </c>
      <c r="B18" s="62" t="s">
        <v>196</v>
      </c>
      <c r="C18" s="66">
        <v>380000</v>
      </c>
    </row>
    <row r="19" spans="1:3" x14ac:dyDescent="0.25">
      <c r="A19" s="62" t="s">
        <v>188</v>
      </c>
      <c r="B19" s="62" t="s">
        <v>189</v>
      </c>
      <c r="C19" s="66" t="s">
        <v>273</v>
      </c>
    </row>
    <row r="20" spans="1:3" x14ac:dyDescent="0.25">
      <c r="A20" s="62" t="s">
        <v>13</v>
      </c>
      <c r="B20" s="62" t="s">
        <v>163</v>
      </c>
      <c r="C20" s="66">
        <v>250000</v>
      </c>
    </row>
    <row r="21" spans="1:3" x14ac:dyDescent="0.25">
      <c r="A21" s="62" t="s">
        <v>15</v>
      </c>
      <c r="B21" s="62" t="s">
        <v>225</v>
      </c>
      <c r="C21" s="66">
        <v>250000</v>
      </c>
    </row>
    <row r="22" spans="1:3" x14ac:dyDescent="0.25">
      <c r="A22" s="62" t="s">
        <v>193</v>
      </c>
      <c r="B22" s="62" t="s">
        <v>194</v>
      </c>
      <c r="C22" s="66">
        <v>100000</v>
      </c>
    </row>
    <row r="23" spans="1:3" x14ac:dyDescent="0.25">
      <c r="A23" s="62" t="s">
        <v>17</v>
      </c>
      <c r="B23" s="62" t="s">
        <v>166</v>
      </c>
      <c r="C23" s="66" t="s">
        <v>167</v>
      </c>
    </row>
    <row r="24" spans="1:3" x14ac:dyDescent="0.25">
      <c r="A24" s="62" t="s">
        <v>17</v>
      </c>
      <c r="B24" s="62" t="s">
        <v>168</v>
      </c>
      <c r="C24" s="66">
        <v>724000</v>
      </c>
    </row>
    <row r="25" spans="1:3" x14ac:dyDescent="0.25">
      <c r="A25" s="62" t="s">
        <v>197</v>
      </c>
      <c r="B25" s="62" t="s">
        <v>198</v>
      </c>
      <c r="C25" s="66">
        <v>300000</v>
      </c>
    </row>
    <row r="26" spans="1:3" x14ac:dyDescent="0.25">
      <c r="A26" s="62" t="s">
        <v>150</v>
      </c>
      <c r="B26" s="62" t="s">
        <v>151</v>
      </c>
      <c r="C26" s="66" t="s">
        <v>270</v>
      </c>
    </row>
    <row r="27" spans="1:3" x14ac:dyDescent="0.25">
      <c r="A27" s="62" t="s">
        <v>144</v>
      </c>
      <c r="B27" s="62" t="s">
        <v>145</v>
      </c>
      <c r="C27" s="66" t="s">
        <v>268</v>
      </c>
    </row>
    <row r="28" spans="1:3" x14ac:dyDescent="0.25">
      <c r="A28" s="62" t="s">
        <v>221</v>
      </c>
      <c r="B28" s="62" t="s">
        <v>222</v>
      </c>
      <c r="C28" s="66">
        <v>250000</v>
      </c>
    </row>
    <row r="29" spans="1:3" x14ac:dyDescent="0.25">
      <c r="A29" s="62" t="s">
        <v>217</v>
      </c>
      <c r="B29" s="62" t="s">
        <v>218</v>
      </c>
      <c r="C29" s="66">
        <v>250000</v>
      </c>
    </row>
    <row r="30" spans="1:3" x14ac:dyDescent="0.25">
      <c r="A30" s="62" t="s">
        <v>213</v>
      </c>
      <c r="B30" s="62" t="s">
        <v>214</v>
      </c>
      <c r="C30" s="66">
        <v>250000</v>
      </c>
    </row>
    <row r="31" spans="1:3" x14ac:dyDescent="0.25">
      <c r="A31" s="62" t="s">
        <v>215</v>
      </c>
      <c r="B31" s="62" t="s">
        <v>216</v>
      </c>
      <c r="C31" s="66">
        <v>250000</v>
      </c>
    </row>
    <row r="32" spans="1:3" x14ac:dyDescent="0.25">
      <c r="A32" s="62" t="s">
        <v>219</v>
      </c>
      <c r="B32" s="62" t="s">
        <v>220</v>
      </c>
      <c r="C32" s="66">
        <v>250000</v>
      </c>
    </row>
    <row r="33" spans="1:3" x14ac:dyDescent="0.25">
      <c r="A33" s="62" t="s">
        <v>226</v>
      </c>
      <c r="B33" s="62" t="s">
        <v>227</v>
      </c>
      <c r="C33" s="66">
        <v>250000</v>
      </c>
    </row>
    <row r="34" spans="1:3" x14ac:dyDescent="0.25">
      <c r="A34" s="62" t="s">
        <v>211</v>
      </c>
      <c r="B34" s="62" t="s">
        <v>212</v>
      </c>
      <c r="C34" s="66">
        <v>250000</v>
      </c>
    </row>
    <row r="35" spans="1:3" x14ac:dyDescent="0.25">
      <c r="A35" s="62" t="s">
        <v>209</v>
      </c>
      <c r="B35" s="62" t="s">
        <v>210</v>
      </c>
      <c r="C35" s="66">
        <v>250000</v>
      </c>
    </row>
    <row r="36" spans="1:3" x14ac:dyDescent="0.25">
      <c r="A36" s="62" t="s">
        <v>207</v>
      </c>
      <c r="B36" s="62" t="s">
        <v>208</v>
      </c>
      <c r="C36" s="66">
        <v>250000</v>
      </c>
    </row>
    <row r="37" spans="1:3" x14ac:dyDescent="0.25">
      <c r="A37" s="62" t="s">
        <v>223</v>
      </c>
      <c r="B37" s="62" t="s">
        <v>224</v>
      </c>
      <c r="C37" s="66">
        <v>250000</v>
      </c>
    </row>
    <row r="38" spans="1:3" x14ac:dyDescent="0.25">
      <c r="A38" s="62" t="s">
        <v>231</v>
      </c>
      <c r="B38" s="62" t="s">
        <v>232</v>
      </c>
      <c r="C38" s="66">
        <v>250000</v>
      </c>
    </row>
    <row r="39" spans="1:3" x14ac:dyDescent="0.25">
      <c r="A39" s="62" t="s">
        <v>21</v>
      </c>
      <c r="B39" s="62" t="s">
        <v>228</v>
      </c>
      <c r="C39" s="66">
        <v>250000</v>
      </c>
    </row>
    <row r="40" spans="1:3" x14ac:dyDescent="0.25">
      <c r="A40" s="62" t="s">
        <v>186</v>
      </c>
      <c r="B40" s="62" t="s">
        <v>187</v>
      </c>
      <c r="C40" s="66">
        <v>150000</v>
      </c>
    </row>
    <row r="41" spans="1:3" x14ac:dyDescent="0.25">
      <c r="A41" s="62" t="s">
        <v>159</v>
      </c>
      <c r="B41" s="62" t="s">
        <v>160</v>
      </c>
      <c r="C41" s="66">
        <v>100000</v>
      </c>
    </row>
    <row r="42" spans="1:3" x14ac:dyDescent="0.25">
      <c r="A42" s="62" t="s">
        <v>229</v>
      </c>
      <c r="B42" s="62" t="s">
        <v>230</v>
      </c>
      <c r="C42" s="66">
        <v>250000</v>
      </c>
    </row>
    <row r="43" spans="1:3" x14ac:dyDescent="0.25">
      <c r="A43" s="62" t="s">
        <v>201</v>
      </c>
      <c r="B43" s="62" t="s">
        <v>202</v>
      </c>
      <c r="C43" s="66">
        <v>250000</v>
      </c>
    </row>
    <row r="44" spans="1:3" x14ac:dyDescent="0.25">
      <c r="A44" s="62" t="s">
        <v>146</v>
      </c>
      <c r="B44" s="62" t="s">
        <v>147</v>
      </c>
      <c r="C44" s="66">
        <v>250000</v>
      </c>
    </row>
    <row r="45" spans="1:3" x14ac:dyDescent="0.25">
      <c r="A45" s="62" t="s">
        <v>269</v>
      </c>
      <c r="B45" s="62" t="s">
        <v>140</v>
      </c>
      <c r="C45" s="66" t="s">
        <v>270</v>
      </c>
    </row>
    <row r="46" spans="1:3" x14ac:dyDescent="0.25">
      <c r="A46" s="62" t="s">
        <v>176</v>
      </c>
      <c r="B46" s="62" t="s">
        <v>177</v>
      </c>
      <c r="C46" s="66">
        <v>150000</v>
      </c>
    </row>
    <row r="47" spans="1:3" x14ac:dyDescent="0.25">
      <c r="A47" s="62" t="s">
        <v>178</v>
      </c>
      <c r="B47" s="62" t="s">
        <v>179</v>
      </c>
      <c r="C47" s="66" t="s">
        <v>180</v>
      </c>
    </row>
    <row r="48" spans="1:3" x14ac:dyDescent="0.25">
      <c r="A48" s="62" t="s">
        <v>134</v>
      </c>
      <c r="B48" s="62" t="s">
        <v>135</v>
      </c>
      <c r="C48" s="66">
        <v>1930376.74</v>
      </c>
    </row>
    <row r="49" spans="1:3" x14ac:dyDescent="0.25">
      <c r="A49" s="62" t="s">
        <v>136</v>
      </c>
      <c r="B49" s="62" t="s">
        <v>137</v>
      </c>
      <c r="C49" s="66" t="s">
        <v>185</v>
      </c>
    </row>
    <row r="50" spans="1:3" x14ac:dyDescent="0.25">
      <c r="A50" s="62" t="s">
        <v>57</v>
      </c>
      <c r="B50" s="62" t="s">
        <v>192</v>
      </c>
      <c r="C50" s="66">
        <v>500000</v>
      </c>
    </row>
    <row r="51" spans="1:3" x14ac:dyDescent="0.25">
      <c r="A51" s="62" t="s">
        <v>171</v>
      </c>
      <c r="B51" s="62" t="s">
        <v>172</v>
      </c>
      <c r="C51" s="66">
        <v>160000</v>
      </c>
    </row>
    <row r="52" spans="1:3" x14ac:dyDescent="0.25">
      <c r="A52" s="62" t="s">
        <v>155</v>
      </c>
      <c r="B52" s="62" t="s">
        <v>156</v>
      </c>
      <c r="C52" s="66">
        <v>100000</v>
      </c>
    </row>
    <row r="53" spans="1:3" x14ac:dyDescent="0.25">
      <c r="A53" s="62" t="s">
        <v>173</v>
      </c>
      <c r="B53" s="62" t="s">
        <v>174</v>
      </c>
      <c r="C53" s="66">
        <v>0</v>
      </c>
    </row>
    <row r="54" spans="1:3" x14ac:dyDescent="0.25">
      <c r="A54" s="62" t="s">
        <v>203</v>
      </c>
      <c r="B54" s="62" t="s">
        <v>204</v>
      </c>
      <c r="C54" s="66">
        <v>1500000</v>
      </c>
    </row>
    <row r="55" spans="1:3" x14ac:dyDescent="0.25">
      <c r="A55" s="62" t="s">
        <v>68</v>
      </c>
      <c r="B55" s="62" t="s">
        <v>175</v>
      </c>
      <c r="C55" s="66">
        <v>100000</v>
      </c>
    </row>
    <row r="56" spans="1:3" x14ac:dyDescent="0.25">
      <c r="A56" s="62" t="s">
        <v>71</v>
      </c>
      <c r="B56" s="62" t="s">
        <v>268</v>
      </c>
      <c r="C56" s="66" t="s">
        <v>154</v>
      </c>
    </row>
    <row r="57" spans="1:3" x14ac:dyDescent="0.25">
      <c r="A57" s="62" t="s">
        <v>152</v>
      </c>
      <c r="B57" s="62" t="s">
        <v>153</v>
      </c>
      <c r="C57" s="66">
        <v>1200000</v>
      </c>
    </row>
    <row r="58" spans="1:3" x14ac:dyDescent="0.25">
      <c r="A58" s="62" t="s">
        <v>90</v>
      </c>
      <c r="B58" s="62" t="s">
        <v>142</v>
      </c>
      <c r="C58" s="66" t="s">
        <v>185</v>
      </c>
    </row>
    <row r="59" spans="1:3" x14ac:dyDescent="0.25">
      <c r="A59" s="62" t="s">
        <v>274</v>
      </c>
      <c r="B59" s="62" t="s">
        <v>143</v>
      </c>
      <c r="C59" s="66">
        <v>150000</v>
      </c>
    </row>
    <row r="60" spans="1:3" x14ac:dyDescent="0.25">
      <c r="A60" s="62" t="s">
        <v>148</v>
      </c>
      <c r="B60" s="62" t="s">
        <v>149</v>
      </c>
      <c r="C60" s="66" t="s">
        <v>270</v>
      </c>
    </row>
    <row r="61" spans="1:3" x14ac:dyDescent="0.25">
      <c r="A61" s="62" t="s">
        <v>205</v>
      </c>
      <c r="B61" s="62" t="s">
        <v>206</v>
      </c>
      <c r="C61" s="66">
        <v>150000</v>
      </c>
    </row>
    <row r="62" spans="1:3" x14ac:dyDescent="0.25">
      <c r="A62" s="62" t="s">
        <v>169</v>
      </c>
      <c r="B62" s="62" t="s">
        <v>170</v>
      </c>
      <c r="C62" s="66">
        <v>1500000</v>
      </c>
    </row>
    <row r="63" spans="1:3" x14ac:dyDescent="0.25">
      <c r="A63" s="62" t="s">
        <v>132</v>
      </c>
      <c r="B63" s="62" t="s">
        <v>133</v>
      </c>
      <c r="C63" s="66">
        <v>1500000</v>
      </c>
    </row>
    <row r="64" spans="1:3" x14ac:dyDescent="0.25">
      <c r="A64" s="62" t="s">
        <v>161</v>
      </c>
      <c r="B64" s="62" t="s">
        <v>162</v>
      </c>
      <c r="C64" s="66">
        <v>500000</v>
      </c>
    </row>
    <row r="65" spans="1:1" ht="15" x14ac:dyDescent="0.25">
      <c r="A65"/>
    </row>
    <row r="66" spans="1:1" ht="15" x14ac:dyDescent="0.25">
      <c r="A66"/>
    </row>
    <row r="67" spans="1:1" x14ac:dyDescent="0.25">
      <c r="A67" s="56"/>
    </row>
    <row r="68" spans="1:1" x14ac:dyDescent="0.25">
      <c r="A68" s="56"/>
    </row>
    <row r="69" spans="1:1" x14ac:dyDescent="0.25">
      <c r="A69" s="56"/>
    </row>
    <row r="70" spans="1:1" x14ac:dyDescent="0.25">
      <c r="A70" s="56"/>
    </row>
    <row r="71" spans="1:1" x14ac:dyDescent="0.25">
      <c r="A71" s="56"/>
    </row>
    <row r="72" spans="1:1" x14ac:dyDescent="0.25">
      <c r="A72" s="56"/>
    </row>
    <row r="73" spans="1:1" x14ac:dyDescent="0.25">
      <c r="A73" s="56"/>
    </row>
    <row r="74" spans="1:1" x14ac:dyDescent="0.25">
      <c r="A74" s="56"/>
    </row>
    <row r="75" spans="1:1" x14ac:dyDescent="0.25">
      <c r="A75" s="56"/>
    </row>
    <row r="76" spans="1:1" x14ac:dyDescent="0.25">
      <c r="A76" s="56"/>
    </row>
    <row r="77" spans="1:1" x14ac:dyDescent="0.25">
      <c r="A77" s="56"/>
    </row>
    <row r="78" spans="1:1" x14ac:dyDescent="0.25">
      <c r="A78" s="56"/>
    </row>
    <row r="79" spans="1:1" x14ac:dyDescent="0.25">
      <c r="A79" s="56"/>
    </row>
    <row r="80" spans="1:1" x14ac:dyDescent="0.25">
      <c r="A80" s="56"/>
    </row>
    <row r="81" spans="1:1" x14ac:dyDescent="0.25">
      <c r="A81" s="56"/>
    </row>
    <row r="82" spans="1:1" x14ac:dyDescent="0.25">
      <c r="A82" s="56"/>
    </row>
    <row r="83" spans="1:1" x14ac:dyDescent="0.25">
      <c r="A83" s="56"/>
    </row>
    <row r="84" spans="1:1" x14ac:dyDescent="0.25">
      <c r="A84" s="56"/>
    </row>
    <row r="85" spans="1:1" x14ac:dyDescent="0.25">
      <c r="A85" s="56"/>
    </row>
    <row r="86" spans="1:1" x14ac:dyDescent="0.25">
      <c r="A86" s="56"/>
    </row>
    <row r="87" spans="1:1" x14ac:dyDescent="0.25">
      <c r="A87" s="56"/>
    </row>
    <row r="88" spans="1:1" x14ac:dyDescent="0.25">
      <c r="A88" s="56"/>
    </row>
    <row r="89" spans="1:1" x14ac:dyDescent="0.25">
      <c r="A89" s="56"/>
    </row>
    <row r="90" spans="1:1" x14ac:dyDescent="0.25">
      <c r="A90" s="56"/>
    </row>
    <row r="91" spans="1:1" x14ac:dyDescent="0.25">
      <c r="A91" s="56"/>
    </row>
    <row r="92" spans="1:1" x14ac:dyDescent="0.25">
      <c r="A92" s="56"/>
    </row>
    <row r="93" spans="1:1" x14ac:dyDescent="0.25">
      <c r="A93" s="56"/>
    </row>
    <row r="94" spans="1:1" x14ac:dyDescent="0.25">
      <c r="A94" s="56"/>
    </row>
    <row r="95" spans="1:1" x14ac:dyDescent="0.25">
      <c r="A95" s="56"/>
    </row>
    <row r="96" spans="1:1" x14ac:dyDescent="0.25">
      <c r="A96" s="56"/>
    </row>
    <row r="97" spans="1:1" x14ac:dyDescent="0.25">
      <c r="A97" s="56"/>
    </row>
    <row r="98" spans="1:1" x14ac:dyDescent="0.25">
      <c r="A98" s="56"/>
    </row>
    <row r="99" spans="1:1" x14ac:dyDescent="0.25">
      <c r="A99" s="56"/>
    </row>
    <row r="100" spans="1:1" x14ac:dyDescent="0.25">
      <c r="A100" s="56"/>
    </row>
    <row r="101" spans="1:1" x14ac:dyDescent="0.25">
      <c r="A101" s="56"/>
    </row>
    <row r="102" spans="1:1" x14ac:dyDescent="0.25">
      <c r="A102" s="56"/>
    </row>
    <row r="103" spans="1:1" x14ac:dyDescent="0.25">
      <c r="A103" s="56"/>
    </row>
    <row r="104" spans="1:1" x14ac:dyDescent="0.25">
      <c r="A104" s="56"/>
    </row>
    <row r="105" spans="1:1" x14ac:dyDescent="0.25">
      <c r="A105" s="56"/>
    </row>
    <row r="106" spans="1:1" x14ac:dyDescent="0.25">
      <c r="A106" s="56"/>
    </row>
    <row r="107" spans="1:1" x14ac:dyDescent="0.25">
      <c r="A107" s="56"/>
    </row>
    <row r="108" spans="1:1" x14ac:dyDescent="0.25">
      <c r="A108" s="56"/>
    </row>
    <row r="109" spans="1:1" x14ac:dyDescent="0.25">
      <c r="A109" s="56"/>
    </row>
    <row r="110" spans="1:1" x14ac:dyDescent="0.25">
      <c r="A110" s="56"/>
    </row>
    <row r="111" spans="1:1" x14ac:dyDescent="0.25">
      <c r="A111" s="56"/>
    </row>
    <row r="112" spans="1:1" x14ac:dyDescent="0.25">
      <c r="A112" s="56"/>
    </row>
    <row r="113" spans="1:1" x14ac:dyDescent="0.25">
      <c r="A113" s="56"/>
    </row>
    <row r="114" spans="1:1" x14ac:dyDescent="0.25">
      <c r="A114" s="56"/>
    </row>
    <row r="115" spans="1:1" x14ac:dyDescent="0.25">
      <c r="A115" s="56"/>
    </row>
    <row r="116" spans="1:1" x14ac:dyDescent="0.25">
      <c r="A116" s="56"/>
    </row>
    <row r="117" spans="1:1" x14ac:dyDescent="0.25">
      <c r="A117" s="56"/>
    </row>
    <row r="118" spans="1:1" x14ac:dyDescent="0.25">
      <c r="A118" s="56"/>
    </row>
    <row r="119" spans="1:1" x14ac:dyDescent="0.25">
      <c r="A119" s="56"/>
    </row>
    <row r="120" spans="1:1" x14ac:dyDescent="0.25">
      <c r="A120" s="56"/>
    </row>
    <row r="121" spans="1:1" x14ac:dyDescent="0.25">
      <c r="A121" s="56"/>
    </row>
    <row r="122" spans="1:1" x14ac:dyDescent="0.25">
      <c r="A122" s="56"/>
    </row>
    <row r="123" spans="1:1" x14ac:dyDescent="0.25">
      <c r="A123" s="56"/>
    </row>
    <row r="124" spans="1:1" x14ac:dyDescent="0.25">
      <c r="A124" s="56"/>
    </row>
    <row r="125" spans="1:1" x14ac:dyDescent="0.25">
      <c r="A125" s="56"/>
    </row>
    <row r="126" spans="1:1" x14ac:dyDescent="0.25">
      <c r="A126" s="56"/>
    </row>
    <row r="127" spans="1:1" x14ac:dyDescent="0.25">
      <c r="A127" s="56"/>
    </row>
    <row r="128" spans="1:1" x14ac:dyDescent="0.25">
      <c r="A128" s="56"/>
    </row>
    <row r="129" spans="1:1" x14ac:dyDescent="0.25">
      <c r="A129" s="56"/>
    </row>
    <row r="130" spans="1:1" x14ac:dyDescent="0.25">
      <c r="A130" s="56"/>
    </row>
    <row r="131" spans="1:1" x14ac:dyDescent="0.25">
      <c r="A131" s="56"/>
    </row>
    <row r="132" spans="1:1" x14ac:dyDescent="0.25">
      <c r="A132" s="56"/>
    </row>
    <row r="133" spans="1:1" x14ac:dyDescent="0.25">
      <c r="A133" s="56"/>
    </row>
    <row r="134" spans="1:1" x14ac:dyDescent="0.25">
      <c r="A134" s="56"/>
    </row>
    <row r="135" spans="1:1" x14ac:dyDescent="0.25">
      <c r="A135" s="56"/>
    </row>
    <row r="136" spans="1:1" x14ac:dyDescent="0.25">
      <c r="A136" s="56"/>
    </row>
    <row r="137" spans="1:1" x14ac:dyDescent="0.25">
      <c r="A137" s="56"/>
    </row>
    <row r="138" spans="1:1" x14ac:dyDescent="0.25">
      <c r="A138" s="56"/>
    </row>
    <row r="139" spans="1:1" x14ac:dyDescent="0.25">
      <c r="A139" s="56"/>
    </row>
    <row r="140" spans="1:1" x14ac:dyDescent="0.25">
      <c r="A140" s="56"/>
    </row>
    <row r="141" spans="1:1" x14ac:dyDescent="0.25">
      <c r="A141" s="56"/>
    </row>
    <row r="142" spans="1:1" x14ac:dyDescent="0.25">
      <c r="A142" s="56"/>
    </row>
    <row r="143" spans="1:1" x14ac:dyDescent="0.25">
      <c r="A143" s="56"/>
    </row>
    <row r="144" spans="1:1" x14ac:dyDescent="0.25">
      <c r="A144" s="56"/>
    </row>
    <row r="145" spans="1:1" x14ac:dyDescent="0.25">
      <c r="A145" s="56"/>
    </row>
    <row r="146" spans="1:1" x14ac:dyDescent="0.25">
      <c r="A146" s="56"/>
    </row>
    <row r="147" spans="1:1" x14ac:dyDescent="0.25">
      <c r="A147" s="56"/>
    </row>
    <row r="148" spans="1:1" x14ac:dyDescent="0.25">
      <c r="A148" s="56"/>
    </row>
    <row r="149" spans="1:1" x14ac:dyDescent="0.25">
      <c r="A149" s="56"/>
    </row>
    <row r="150" spans="1:1" x14ac:dyDescent="0.25">
      <c r="A150" s="56"/>
    </row>
    <row r="151" spans="1:1" x14ac:dyDescent="0.25">
      <c r="A151" s="56"/>
    </row>
    <row r="152" spans="1:1" x14ac:dyDescent="0.25">
      <c r="A152" s="56"/>
    </row>
    <row r="153" spans="1:1" x14ac:dyDescent="0.25">
      <c r="A153" s="56"/>
    </row>
    <row r="154" spans="1:1" x14ac:dyDescent="0.25">
      <c r="A154" s="56"/>
    </row>
    <row r="155" spans="1:1" x14ac:dyDescent="0.25">
      <c r="A155" s="56"/>
    </row>
    <row r="156" spans="1:1" x14ac:dyDescent="0.25">
      <c r="A156" s="56"/>
    </row>
    <row r="157" spans="1:1" x14ac:dyDescent="0.25">
      <c r="A157" s="56"/>
    </row>
    <row r="158" spans="1:1" x14ac:dyDescent="0.25">
      <c r="A158" s="56"/>
    </row>
    <row r="159" spans="1:1" x14ac:dyDescent="0.25">
      <c r="A159" s="56"/>
    </row>
    <row r="160" spans="1:1" x14ac:dyDescent="0.25">
      <c r="A160" s="56"/>
    </row>
    <row r="161" spans="1:1" x14ac:dyDescent="0.25">
      <c r="A161" s="56"/>
    </row>
    <row r="162" spans="1:1" x14ac:dyDescent="0.25">
      <c r="A162" s="56"/>
    </row>
    <row r="163" spans="1:1" x14ac:dyDescent="0.25">
      <c r="A163" s="56"/>
    </row>
    <row r="164" spans="1:1" x14ac:dyDescent="0.25">
      <c r="A164" s="56"/>
    </row>
    <row r="165" spans="1:1" x14ac:dyDescent="0.25">
      <c r="A165" s="56"/>
    </row>
    <row r="166" spans="1:1" x14ac:dyDescent="0.25">
      <c r="A166" s="56"/>
    </row>
    <row r="167" spans="1:1" x14ac:dyDescent="0.25">
      <c r="A167" s="56"/>
    </row>
    <row r="168" spans="1:1" x14ac:dyDescent="0.25">
      <c r="A168" s="56"/>
    </row>
    <row r="169" spans="1:1" x14ac:dyDescent="0.25">
      <c r="A169" s="56"/>
    </row>
    <row r="170" spans="1:1" x14ac:dyDescent="0.25">
      <c r="A170" s="56"/>
    </row>
    <row r="171" spans="1:1" x14ac:dyDescent="0.25">
      <c r="A171" s="56"/>
    </row>
    <row r="172" spans="1:1" x14ac:dyDescent="0.25">
      <c r="A172" s="56"/>
    </row>
    <row r="173" spans="1:1" x14ac:dyDescent="0.25">
      <c r="A173" s="56"/>
    </row>
    <row r="174" spans="1:1" x14ac:dyDescent="0.25">
      <c r="A174" s="56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D5DE-E910-44CE-9CBC-2603B8D489B6}">
  <sheetPr codeName="Planilha2"/>
  <dimension ref="A1:B16"/>
  <sheetViews>
    <sheetView showGridLines="0" workbookViewId="0">
      <selection activeCell="B16" sqref="A3:B16"/>
    </sheetView>
  </sheetViews>
  <sheetFormatPr defaultRowHeight="15" x14ac:dyDescent="0.25"/>
  <cols>
    <col min="1" max="1" width="56" bestFit="1" customWidth="1"/>
    <col min="2" max="2" width="12.5703125" bestFit="1" customWidth="1"/>
    <col min="3" max="3" width="18" bestFit="1" customWidth="1"/>
    <col min="4" max="5" width="12.5703125" bestFit="1" customWidth="1"/>
    <col min="6" max="7" width="9.7109375" bestFit="1" customWidth="1"/>
    <col min="8" max="9" width="18.140625" bestFit="1" customWidth="1"/>
    <col min="10" max="10" width="13.140625" bestFit="1" customWidth="1"/>
    <col min="11" max="11" width="15.42578125" bestFit="1" customWidth="1"/>
    <col min="12" max="12" width="15.85546875" bestFit="1" customWidth="1"/>
    <col min="13" max="13" width="18.28515625" bestFit="1" customWidth="1"/>
    <col min="14" max="15" width="18.85546875" bestFit="1" customWidth="1"/>
    <col min="16" max="16" width="15.42578125" bestFit="1" customWidth="1"/>
    <col min="17" max="18" width="18.28515625" bestFit="1" customWidth="1"/>
    <col min="19" max="20" width="18.140625" bestFit="1" customWidth="1"/>
    <col min="21" max="22" width="18.7109375" bestFit="1" customWidth="1"/>
    <col min="23" max="24" width="18.85546875" bestFit="1" customWidth="1"/>
    <col min="25" max="27" width="12.5703125" bestFit="1" customWidth="1"/>
    <col min="28" max="29" width="12.140625" bestFit="1" customWidth="1"/>
    <col min="30" max="30" width="15.42578125" bestFit="1" customWidth="1"/>
    <col min="31" max="31" width="18.5703125" bestFit="1" customWidth="1"/>
    <col min="32" max="32" width="15.42578125" bestFit="1" customWidth="1"/>
    <col min="33" max="51" width="12.140625" bestFit="1" customWidth="1"/>
    <col min="52" max="53" width="15.5703125" bestFit="1" customWidth="1"/>
    <col min="54" max="67" width="12.140625" bestFit="1" customWidth="1"/>
    <col min="68" max="68" width="15.5703125" bestFit="1" customWidth="1"/>
    <col min="69" max="70" width="12.140625" bestFit="1" customWidth="1"/>
    <col min="71" max="71" width="15.42578125" bestFit="1" customWidth="1"/>
    <col min="72" max="73" width="12.140625" bestFit="1" customWidth="1"/>
    <col min="74" max="74" width="15.5703125" bestFit="1" customWidth="1"/>
    <col min="75" max="92" width="12.140625" bestFit="1" customWidth="1"/>
    <col min="93" max="93" width="15.5703125" bestFit="1" customWidth="1"/>
    <col min="94" max="95" width="12.5703125" bestFit="1" customWidth="1"/>
    <col min="96" max="96" width="15.5703125" bestFit="1" customWidth="1"/>
    <col min="97" max="97" width="12.140625" bestFit="1" customWidth="1"/>
    <col min="98" max="98" width="16" bestFit="1" customWidth="1"/>
    <col min="99" max="100" width="19.140625" bestFit="1" customWidth="1"/>
    <col min="101" max="102" width="12.140625" bestFit="1" customWidth="1"/>
    <col min="103" max="225" width="12.28515625" bestFit="1" customWidth="1"/>
    <col min="226" max="250" width="20.7109375" bestFit="1" customWidth="1"/>
    <col min="251" max="251" width="12.7109375" bestFit="1" customWidth="1"/>
  </cols>
  <sheetData>
    <row r="1" spans="1:2" x14ac:dyDescent="0.25">
      <c r="A1" s="10" t="s">
        <v>124</v>
      </c>
      <c r="B1" t="s">
        <v>375</v>
      </c>
    </row>
    <row r="3" spans="1:2" x14ac:dyDescent="0.25">
      <c r="A3" s="10" t="s">
        <v>235</v>
      </c>
      <c r="B3" t="s">
        <v>234</v>
      </c>
    </row>
    <row r="4" spans="1:2" x14ac:dyDescent="0.25">
      <c r="A4" s="11" t="s">
        <v>13</v>
      </c>
      <c r="B4" s="12">
        <v>369348.23</v>
      </c>
    </row>
    <row r="5" spans="1:2" x14ac:dyDescent="0.25">
      <c r="A5" s="69" t="s">
        <v>379</v>
      </c>
      <c r="B5" s="12">
        <v>70336</v>
      </c>
    </row>
    <row r="6" spans="1:2" x14ac:dyDescent="0.25">
      <c r="A6" s="71" t="s">
        <v>14</v>
      </c>
      <c r="B6" s="12">
        <v>70336</v>
      </c>
    </row>
    <row r="7" spans="1:2" x14ac:dyDescent="0.25">
      <c r="A7" s="69" t="s">
        <v>376</v>
      </c>
      <c r="B7" s="12">
        <v>74753.069999999992</v>
      </c>
    </row>
    <row r="8" spans="1:2" x14ac:dyDescent="0.25">
      <c r="A8" s="71" t="s">
        <v>259</v>
      </c>
      <c r="B8" s="12">
        <v>73982.92</v>
      </c>
    </row>
    <row r="9" spans="1:2" x14ac:dyDescent="0.25">
      <c r="A9" s="71" t="s">
        <v>262</v>
      </c>
      <c r="B9" s="12">
        <v>770.15</v>
      </c>
    </row>
    <row r="10" spans="1:2" x14ac:dyDescent="0.25">
      <c r="A10" s="69" t="s">
        <v>377</v>
      </c>
      <c r="B10" s="12">
        <v>74753.06</v>
      </c>
    </row>
    <row r="11" spans="1:2" x14ac:dyDescent="0.25">
      <c r="A11" s="71" t="s">
        <v>260</v>
      </c>
      <c r="B11" s="12">
        <v>73982.91</v>
      </c>
    </row>
    <row r="12" spans="1:2" x14ac:dyDescent="0.25">
      <c r="A12" s="71" t="s">
        <v>263</v>
      </c>
      <c r="B12" s="12">
        <v>770.15</v>
      </c>
    </row>
    <row r="13" spans="1:2" x14ac:dyDescent="0.25">
      <c r="A13" s="69" t="s">
        <v>378</v>
      </c>
      <c r="B13" s="12">
        <v>149506.1</v>
      </c>
    </row>
    <row r="14" spans="1:2" x14ac:dyDescent="0.25">
      <c r="A14" s="71" t="s">
        <v>261</v>
      </c>
      <c r="B14" s="12">
        <v>147965.82</v>
      </c>
    </row>
    <row r="15" spans="1:2" x14ac:dyDescent="0.25">
      <c r="A15" s="71" t="s">
        <v>264</v>
      </c>
      <c r="B15" s="12">
        <v>1540.28</v>
      </c>
    </row>
    <row r="16" spans="1:2" x14ac:dyDescent="0.25">
      <c r="A16" s="11" t="s">
        <v>233</v>
      </c>
      <c r="B16" s="12">
        <v>369348.23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E709-4517-48A1-9187-A7ED449A4C7E}">
  <sheetPr codeName="Planilha3"/>
  <dimension ref="A1:C57"/>
  <sheetViews>
    <sheetView showGridLines="0" topLeftCell="A18" workbookViewId="0">
      <selection activeCell="A34" sqref="A34"/>
    </sheetView>
  </sheetViews>
  <sheetFormatPr defaultRowHeight="15" x14ac:dyDescent="0.25"/>
  <cols>
    <col min="1" max="1" width="79.85546875" style="11" bestFit="1" customWidth="1"/>
    <col min="2" max="2" width="29" style="11" bestFit="1" customWidth="1"/>
    <col min="3" max="3" width="37" style="16" bestFit="1" customWidth="1"/>
    <col min="4" max="254" width="9.28515625" customWidth="1"/>
  </cols>
  <sheetData>
    <row r="1" spans="1:3" x14ac:dyDescent="0.25">
      <c r="A1" s="35" t="s">
        <v>129</v>
      </c>
      <c r="B1" s="36" t="s">
        <v>130</v>
      </c>
      <c r="C1" s="37" t="s">
        <v>131</v>
      </c>
    </row>
    <row r="2" spans="1:3" x14ac:dyDescent="0.25">
      <c r="A2" s="38" t="s">
        <v>132</v>
      </c>
      <c r="B2" s="17" t="s">
        <v>133</v>
      </c>
      <c r="C2" s="39">
        <v>1500000</v>
      </c>
    </row>
    <row r="3" spans="1:3" x14ac:dyDescent="0.25">
      <c r="A3" s="40" t="s">
        <v>134</v>
      </c>
      <c r="B3" s="18" t="s">
        <v>135</v>
      </c>
      <c r="C3" s="41">
        <v>1930376.74</v>
      </c>
    </row>
    <row r="4" spans="1:3" x14ac:dyDescent="0.25">
      <c r="A4" s="42" t="s">
        <v>136</v>
      </c>
      <c r="B4" s="19" t="s">
        <v>137</v>
      </c>
      <c r="C4" s="41" t="s">
        <v>185</v>
      </c>
    </row>
    <row r="5" spans="1:3" ht="33" customHeight="1" x14ac:dyDescent="0.25">
      <c r="A5" s="43" t="s">
        <v>138</v>
      </c>
      <c r="B5" s="21" t="s">
        <v>139</v>
      </c>
      <c r="C5" s="41">
        <v>2500000</v>
      </c>
    </row>
    <row r="6" spans="1:3" x14ac:dyDescent="0.25">
      <c r="A6" s="42" t="s">
        <v>269</v>
      </c>
      <c r="B6" s="19" t="s">
        <v>140</v>
      </c>
      <c r="C6" s="39" t="s">
        <v>270</v>
      </c>
    </row>
    <row r="7" spans="1:3" x14ac:dyDescent="0.25">
      <c r="A7" s="40" t="s">
        <v>271</v>
      </c>
      <c r="B7" s="18" t="s">
        <v>141</v>
      </c>
      <c r="C7" s="41" t="s">
        <v>272</v>
      </c>
    </row>
    <row r="8" spans="1:3" x14ac:dyDescent="0.25">
      <c r="A8" s="38" t="s">
        <v>90</v>
      </c>
      <c r="B8" s="17" t="s">
        <v>142</v>
      </c>
      <c r="C8" s="39" t="s">
        <v>185</v>
      </c>
    </row>
    <row r="9" spans="1:3" x14ac:dyDescent="0.25">
      <c r="A9" s="44" t="s">
        <v>274</v>
      </c>
      <c r="B9" s="22" t="s">
        <v>143</v>
      </c>
      <c r="C9" s="41">
        <v>150000</v>
      </c>
    </row>
    <row r="10" spans="1:3" x14ac:dyDescent="0.25">
      <c r="A10" s="42" t="s">
        <v>144</v>
      </c>
      <c r="B10" s="19" t="s">
        <v>145</v>
      </c>
      <c r="C10" s="39"/>
    </row>
    <row r="11" spans="1:3" x14ac:dyDescent="0.25">
      <c r="A11" s="40" t="s">
        <v>146</v>
      </c>
      <c r="B11" s="18" t="s">
        <v>147</v>
      </c>
      <c r="C11" s="41">
        <v>250000</v>
      </c>
    </row>
    <row r="12" spans="1:3" x14ac:dyDescent="0.25">
      <c r="A12" s="42" t="s">
        <v>148</v>
      </c>
      <c r="B12" s="19" t="s">
        <v>149</v>
      </c>
      <c r="C12" s="39" t="s">
        <v>270</v>
      </c>
    </row>
    <row r="13" spans="1:3" x14ac:dyDescent="0.25">
      <c r="A13" s="44" t="s">
        <v>150</v>
      </c>
      <c r="B13" s="22" t="s">
        <v>151</v>
      </c>
      <c r="C13" s="41" t="s">
        <v>270</v>
      </c>
    </row>
    <row r="14" spans="1:3" x14ac:dyDescent="0.25">
      <c r="A14" s="38" t="s">
        <v>152</v>
      </c>
      <c r="B14" s="17" t="s">
        <v>153</v>
      </c>
      <c r="C14" s="39">
        <v>1200000</v>
      </c>
    </row>
    <row r="15" spans="1:3" x14ac:dyDescent="0.25">
      <c r="A15" s="44" t="s">
        <v>71</v>
      </c>
      <c r="B15" s="22"/>
      <c r="C15" s="41" t="s">
        <v>154</v>
      </c>
    </row>
    <row r="16" spans="1:3" x14ac:dyDescent="0.25">
      <c r="A16" s="38" t="s">
        <v>155</v>
      </c>
      <c r="B16" s="17" t="s">
        <v>156</v>
      </c>
      <c r="C16" s="39">
        <v>100000</v>
      </c>
    </row>
    <row r="17" spans="1:3" ht="30" x14ac:dyDescent="0.25">
      <c r="A17" s="45" t="s">
        <v>138</v>
      </c>
      <c r="B17" s="24" t="s">
        <v>157</v>
      </c>
      <c r="C17" s="39" t="s">
        <v>185</v>
      </c>
    </row>
    <row r="18" spans="1:3" ht="30" x14ac:dyDescent="0.25">
      <c r="A18" s="43" t="s">
        <v>138</v>
      </c>
      <c r="B18" s="21" t="s">
        <v>158</v>
      </c>
      <c r="C18" s="41" t="s">
        <v>185</v>
      </c>
    </row>
    <row r="19" spans="1:3" x14ac:dyDescent="0.25">
      <c r="A19" s="45" t="s">
        <v>159</v>
      </c>
      <c r="B19" s="24" t="s">
        <v>160</v>
      </c>
      <c r="C19" s="39">
        <v>100000</v>
      </c>
    </row>
    <row r="20" spans="1:3" x14ac:dyDescent="0.25">
      <c r="A20" s="43" t="s">
        <v>161</v>
      </c>
      <c r="B20" s="21" t="s">
        <v>162</v>
      </c>
      <c r="C20" s="41">
        <v>500000</v>
      </c>
    </row>
    <row r="21" spans="1:3" x14ac:dyDescent="0.25">
      <c r="A21" s="46" t="s">
        <v>13</v>
      </c>
      <c r="B21" s="25" t="s">
        <v>163</v>
      </c>
      <c r="C21" s="39">
        <v>250000</v>
      </c>
    </row>
    <row r="22" spans="1:3" x14ac:dyDescent="0.25">
      <c r="A22" s="47" t="s">
        <v>164</v>
      </c>
      <c r="B22" s="26" t="s">
        <v>165</v>
      </c>
      <c r="C22" s="41">
        <v>500000</v>
      </c>
    </row>
    <row r="23" spans="1:3" x14ac:dyDescent="0.25">
      <c r="A23" s="48" t="s">
        <v>17</v>
      </c>
      <c r="B23" s="27" t="s">
        <v>166</v>
      </c>
      <c r="C23" s="39" t="s">
        <v>167</v>
      </c>
    </row>
    <row r="24" spans="1:3" x14ac:dyDescent="0.25">
      <c r="A24" s="49" t="s">
        <v>17</v>
      </c>
      <c r="B24" s="26" t="s">
        <v>168</v>
      </c>
      <c r="C24" s="41">
        <v>724000</v>
      </c>
    </row>
    <row r="25" spans="1:3" x14ac:dyDescent="0.25">
      <c r="A25" s="46" t="s">
        <v>169</v>
      </c>
      <c r="B25" s="25" t="s">
        <v>170</v>
      </c>
      <c r="C25" s="39">
        <v>1500000</v>
      </c>
    </row>
    <row r="26" spans="1:3" x14ac:dyDescent="0.25">
      <c r="A26" s="50" t="s">
        <v>171</v>
      </c>
      <c r="B26" s="29" t="s">
        <v>172</v>
      </c>
      <c r="C26" s="41">
        <v>160000</v>
      </c>
    </row>
    <row r="27" spans="1:3" x14ac:dyDescent="0.25">
      <c r="A27" s="46" t="s">
        <v>173</v>
      </c>
      <c r="B27" s="25" t="s">
        <v>174</v>
      </c>
      <c r="C27" s="39">
        <f>'[1]Dustin_Maeno TO'!C32</f>
        <v>0</v>
      </c>
    </row>
    <row r="28" spans="1:3" x14ac:dyDescent="0.25">
      <c r="A28" s="46" t="s">
        <v>68</v>
      </c>
      <c r="B28" s="25" t="s">
        <v>175</v>
      </c>
      <c r="C28" s="39">
        <v>100000</v>
      </c>
    </row>
    <row r="29" spans="1:3" x14ac:dyDescent="0.25">
      <c r="A29" s="49" t="s">
        <v>176</v>
      </c>
      <c r="B29" s="28" t="s">
        <v>177</v>
      </c>
      <c r="C29" s="41">
        <v>150000</v>
      </c>
    </row>
    <row r="30" spans="1:3" x14ac:dyDescent="0.25">
      <c r="A30" s="46" t="s">
        <v>178</v>
      </c>
      <c r="B30" s="25" t="s">
        <v>179</v>
      </c>
      <c r="C30" s="39" t="s">
        <v>180</v>
      </c>
    </row>
    <row r="31" spans="1:3" x14ac:dyDescent="0.25">
      <c r="A31" s="51" t="s">
        <v>181</v>
      </c>
      <c r="B31" s="30" t="s">
        <v>182</v>
      </c>
      <c r="C31" s="39">
        <v>350000</v>
      </c>
    </row>
    <row r="32" spans="1:3" x14ac:dyDescent="0.25">
      <c r="A32" s="52" t="s">
        <v>183</v>
      </c>
      <c r="B32" s="20" t="s">
        <v>184</v>
      </c>
      <c r="C32" s="41" t="s">
        <v>185</v>
      </c>
    </row>
    <row r="33" spans="1:3" x14ac:dyDescent="0.25">
      <c r="A33" s="53" t="s">
        <v>186</v>
      </c>
      <c r="B33" s="31" t="s">
        <v>187</v>
      </c>
      <c r="C33" s="39">
        <v>150000</v>
      </c>
    </row>
    <row r="34" spans="1:3" x14ac:dyDescent="0.25">
      <c r="A34" s="52" t="s">
        <v>188</v>
      </c>
      <c r="B34" s="20" t="s">
        <v>189</v>
      </c>
      <c r="C34" s="41" t="s">
        <v>273</v>
      </c>
    </row>
    <row r="35" spans="1:3" x14ac:dyDescent="0.25">
      <c r="A35" s="51" t="s">
        <v>190</v>
      </c>
      <c r="B35" s="23" t="s">
        <v>191</v>
      </c>
      <c r="C35" s="39">
        <v>100000</v>
      </c>
    </row>
    <row r="36" spans="1:3" ht="17.25" customHeight="1" x14ac:dyDescent="0.25">
      <c r="A36" s="52" t="s">
        <v>57</v>
      </c>
      <c r="B36" s="20" t="s">
        <v>192</v>
      </c>
      <c r="C36" s="41">
        <v>500000</v>
      </c>
    </row>
    <row r="37" spans="1:3" x14ac:dyDescent="0.25">
      <c r="A37" s="45" t="s">
        <v>193</v>
      </c>
      <c r="B37" s="24" t="s">
        <v>194</v>
      </c>
      <c r="C37" s="39">
        <v>100000</v>
      </c>
    </row>
    <row r="38" spans="1:3" x14ac:dyDescent="0.25">
      <c r="A38" s="52" t="s">
        <v>195</v>
      </c>
      <c r="B38" s="32" t="s">
        <v>196</v>
      </c>
      <c r="C38" s="41">
        <f>380000</f>
        <v>380000</v>
      </c>
    </row>
    <row r="39" spans="1:3" x14ac:dyDescent="0.25">
      <c r="A39" s="51" t="s">
        <v>197</v>
      </c>
      <c r="B39" s="33" t="s">
        <v>198</v>
      </c>
      <c r="C39" s="39">
        <f>300000-[1]Kallebe_Gomes_Guilherme!C65</f>
        <v>300000</v>
      </c>
    </row>
    <row r="40" spans="1:3" x14ac:dyDescent="0.25">
      <c r="A40" s="52" t="s">
        <v>199</v>
      </c>
      <c r="B40" s="32" t="s">
        <v>200</v>
      </c>
      <c r="C40" s="41">
        <v>600000</v>
      </c>
    </row>
    <row r="41" spans="1:3" x14ac:dyDescent="0.25">
      <c r="A41" s="51" t="s">
        <v>201</v>
      </c>
      <c r="B41" s="33" t="s">
        <v>202</v>
      </c>
      <c r="C41" s="39">
        <v>250000</v>
      </c>
    </row>
    <row r="42" spans="1:3" x14ac:dyDescent="0.25">
      <c r="A42" s="52" t="s">
        <v>203</v>
      </c>
      <c r="B42" s="32" t="s">
        <v>204</v>
      </c>
      <c r="C42" s="41">
        <v>1500000</v>
      </c>
    </row>
    <row r="43" spans="1:3" x14ac:dyDescent="0.25">
      <c r="A43" s="51" t="s">
        <v>205</v>
      </c>
      <c r="B43" s="33" t="s">
        <v>206</v>
      </c>
      <c r="C43" s="39">
        <v>150000</v>
      </c>
    </row>
    <row r="44" spans="1:3" x14ac:dyDescent="0.25">
      <c r="A44" s="51" t="s">
        <v>207</v>
      </c>
      <c r="B44" s="33" t="s">
        <v>208</v>
      </c>
      <c r="C44" s="39">
        <v>250000</v>
      </c>
    </row>
    <row r="45" spans="1:3" x14ac:dyDescent="0.25">
      <c r="A45" s="51" t="s">
        <v>209</v>
      </c>
      <c r="B45" s="33" t="s">
        <v>210</v>
      </c>
      <c r="C45" s="39">
        <v>250000</v>
      </c>
    </row>
    <row r="46" spans="1:3" x14ac:dyDescent="0.25">
      <c r="A46" s="51" t="s">
        <v>211</v>
      </c>
      <c r="B46" s="33" t="s">
        <v>212</v>
      </c>
      <c r="C46" s="39">
        <v>250000</v>
      </c>
    </row>
    <row r="47" spans="1:3" x14ac:dyDescent="0.25">
      <c r="A47" s="51" t="s">
        <v>213</v>
      </c>
      <c r="B47" s="33" t="s">
        <v>214</v>
      </c>
      <c r="C47" s="39">
        <v>250000</v>
      </c>
    </row>
    <row r="48" spans="1:3" x14ac:dyDescent="0.25">
      <c r="A48" s="51" t="s">
        <v>215</v>
      </c>
      <c r="B48" s="33" t="s">
        <v>216</v>
      </c>
      <c r="C48" s="39">
        <v>250000</v>
      </c>
    </row>
    <row r="49" spans="1:3" x14ac:dyDescent="0.25">
      <c r="A49" s="51" t="s">
        <v>217</v>
      </c>
      <c r="B49" s="33" t="s">
        <v>218</v>
      </c>
      <c r="C49" s="39">
        <v>250000</v>
      </c>
    </row>
    <row r="50" spans="1:3" x14ac:dyDescent="0.25">
      <c r="A50" s="51" t="s">
        <v>219</v>
      </c>
      <c r="B50" s="33" t="s">
        <v>220</v>
      </c>
      <c r="C50" s="39">
        <v>250000</v>
      </c>
    </row>
    <row r="51" spans="1:3" x14ac:dyDescent="0.25">
      <c r="A51" s="51" t="s">
        <v>221</v>
      </c>
      <c r="B51" s="33" t="s">
        <v>222</v>
      </c>
      <c r="C51" s="39">
        <v>250000</v>
      </c>
    </row>
    <row r="52" spans="1:3" x14ac:dyDescent="0.25">
      <c r="A52" s="51" t="s">
        <v>223</v>
      </c>
      <c r="B52" s="33" t="s">
        <v>224</v>
      </c>
      <c r="C52" s="39">
        <v>250000</v>
      </c>
    </row>
    <row r="53" spans="1:3" x14ac:dyDescent="0.25">
      <c r="A53" s="51" t="s">
        <v>15</v>
      </c>
      <c r="B53" s="33" t="s">
        <v>225</v>
      </c>
      <c r="C53" s="39">
        <v>250000</v>
      </c>
    </row>
    <row r="54" spans="1:3" x14ac:dyDescent="0.25">
      <c r="A54" s="51" t="s">
        <v>226</v>
      </c>
      <c r="B54" s="33" t="s">
        <v>227</v>
      </c>
      <c r="C54" s="39">
        <v>250000</v>
      </c>
    </row>
    <row r="55" spans="1:3" x14ac:dyDescent="0.25">
      <c r="A55" s="51" t="s">
        <v>21</v>
      </c>
      <c r="B55" s="33" t="s">
        <v>228</v>
      </c>
      <c r="C55" s="39">
        <v>250000</v>
      </c>
    </row>
    <row r="56" spans="1:3" x14ac:dyDescent="0.25">
      <c r="A56" s="51" t="s">
        <v>229</v>
      </c>
      <c r="B56" s="33" t="s">
        <v>230</v>
      </c>
      <c r="C56" s="39">
        <v>250000</v>
      </c>
    </row>
    <row r="57" spans="1:3" x14ac:dyDescent="0.25">
      <c r="A57" s="54" t="s">
        <v>231</v>
      </c>
      <c r="B57" s="34" t="s">
        <v>232</v>
      </c>
      <c r="C57" s="55">
        <v>250000</v>
      </c>
    </row>
  </sheetData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Report</vt:lpstr>
      <vt:lpstr>Limite de crédito.</vt:lpstr>
      <vt:lpstr>Pedidos Geral</vt:lpstr>
      <vt:lpstr>Limite de crédito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cp:lastPrinted>2026-02-03T13:00:29Z</cp:lastPrinted>
  <dcterms:created xsi:type="dcterms:W3CDTF">2026-01-29T17:48:19Z</dcterms:created>
  <dcterms:modified xsi:type="dcterms:W3CDTF">2026-02-23T20:24:11Z</dcterms:modified>
</cp:coreProperties>
</file>